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758ef535f3577c9a/Desktop/готовые проги с сылками/парни/3 дня/"/>
    </mc:Choice>
  </mc:AlternateContent>
  <xr:revisionPtr revIDLastSave="2" documentId="8_{CAA4395F-433E-4CF1-8428-6999DE6DFCE0}" xr6:coauthVersionLast="47" xr6:coauthVersionMax="47" xr10:uidLastSave="{2460476E-DC35-4C21-BC6E-D4437ED14052}"/>
  <bookViews>
    <workbookView xWindow="-110" yWindow="-110" windowWidth="25820" windowHeight="15500" xr2:uid="{00000000-000D-0000-FFFF-FFFF00000000}"/>
  </bookViews>
  <sheets>
    <sheet name="дневник" sheetId="1" r:id="rId1"/>
  </sheets>
  <calcPr calcId="181029"/>
</workbook>
</file>

<file path=xl/calcChain.xml><?xml version="1.0" encoding="utf-8"?>
<calcChain xmlns="http://schemas.openxmlformats.org/spreadsheetml/2006/main">
  <c r="FA146" i="1" l="1"/>
  <c r="FA145" i="1"/>
  <c r="FA144" i="1"/>
  <c r="FE140" i="1"/>
  <c r="FA140" i="1"/>
  <c r="FE139" i="1"/>
  <c r="FA139" i="1"/>
  <c r="FE138" i="1"/>
  <c r="FA138" i="1"/>
  <c r="FI134" i="1"/>
  <c r="FE134" i="1"/>
  <c r="FA134" i="1"/>
  <c r="FI133" i="1"/>
  <c r="FE133" i="1"/>
  <c r="FA133" i="1"/>
  <c r="FI132" i="1"/>
  <c r="FE132" i="1"/>
  <c r="FA132" i="1"/>
  <c r="FI128" i="1"/>
  <c r="FE128" i="1"/>
  <c r="FI127" i="1"/>
  <c r="FE127" i="1"/>
  <c r="FA127" i="1"/>
  <c r="FI126" i="1"/>
  <c r="FE126" i="1"/>
  <c r="FA126" i="1"/>
  <c r="FA122" i="1"/>
  <c r="FA121" i="1"/>
  <c r="FI116" i="1"/>
  <c r="FE116" i="1"/>
  <c r="FA116" i="1"/>
  <c r="FI115" i="1"/>
  <c r="FE115" i="1"/>
  <c r="FA115" i="1"/>
  <c r="FI114" i="1"/>
  <c r="FE114" i="1"/>
  <c r="FI111" i="1"/>
  <c r="FA111" i="1"/>
  <c r="FI110" i="1"/>
  <c r="FE110" i="1"/>
  <c r="FA110" i="1"/>
  <c r="FI109" i="1"/>
  <c r="FE109" i="1"/>
  <c r="FA109" i="1"/>
  <c r="FE108" i="1"/>
  <c r="FA106" i="1"/>
  <c r="FA105" i="1"/>
  <c r="FI104" i="1"/>
  <c r="FE104" i="1"/>
  <c r="FA104" i="1"/>
  <c r="FI103" i="1"/>
  <c r="FE103" i="1"/>
  <c r="FE102" i="1"/>
  <c r="FA100" i="1"/>
  <c r="FI99" i="1"/>
  <c r="FE99" i="1"/>
  <c r="FA99" i="1"/>
  <c r="FI98" i="1"/>
  <c r="FE98" i="1"/>
  <c r="FA98" i="1"/>
  <c r="FI97" i="1"/>
  <c r="FE97" i="1"/>
  <c r="FI94" i="1"/>
  <c r="FE94" i="1"/>
  <c r="FI93" i="1"/>
  <c r="FE93" i="1"/>
  <c r="FI92" i="1"/>
  <c r="FE92" i="1"/>
  <c r="FE88" i="1"/>
  <c r="FE87" i="1"/>
  <c r="FE86" i="1"/>
  <c r="EM146" i="1"/>
  <c r="EM145" i="1"/>
  <c r="EM144" i="1"/>
  <c r="EQ140" i="1"/>
  <c r="EM140" i="1"/>
  <c r="EQ139" i="1"/>
  <c r="EM139" i="1"/>
  <c r="EQ138" i="1"/>
  <c r="EM138" i="1"/>
  <c r="EU134" i="1"/>
  <c r="EQ134" i="1"/>
  <c r="EM134" i="1"/>
  <c r="EU133" i="1"/>
  <c r="EQ133" i="1"/>
  <c r="EM133" i="1"/>
  <c r="EU132" i="1"/>
  <c r="EQ132" i="1"/>
  <c r="EM132" i="1"/>
  <c r="EU128" i="1"/>
  <c r="EQ128" i="1"/>
  <c r="EU127" i="1"/>
  <c r="EQ127" i="1"/>
  <c r="EM127" i="1"/>
  <c r="EU126" i="1"/>
  <c r="EQ126" i="1"/>
  <c r="EM126" i="1"/>
  <c r="EM122" i="1"/>
  <c r="EM121" i="1"/>
  <c r="EU116" i="1"/>
  <c r="EQ116" i="1"/>
  <c r="EM116" i="1"/>
  <c r="EU115" i="1"/>
  <c r="EQ115" i="1"/>
  <c r="EM115" i="1"/>
  <c r="EU114" i="1"/>
  <c r="EQ114" i="1"/>
  <c r="EU111" i="1"/>
  <c r="EM111" i="1"/>
  <c r="EU110" i="1"/>
  <c r="EQ110" i="1"/>
  <c r="EM110" i="1"/>
  <c r="EU109" i="1"/>
  <c r="EQ109" i="1"/>
  <c r="EM109" i="1"/>
  <c r="EQ108" i="1"/>
  <c r="EM106" i="1"/>
  <c r="EM105" i="1"/>
  <c r="EU104" i="1"/>
  <c r="EQ104" i="1"/>
  <c r="EM104" i="1"/>
  <c r="EU103" i="1"/>
  <c r="EQ103" i="1"/>
  <c r="EQ102" i="1"/>
  <c r="EM100" i="1"/>
  <c r="EU99" i="1"/>
  <c r="EQ99" i="1"/>
  <c r="EM99" i="1"/>
  <c r="EU98" i="1"/>
  <c r="EQ98" i="1"/>
  <c r="EM98" i="1"/>
  <c r="EU97" i="1"/>
  <c r="EQ97" i="1"/>
  <c r="EU94" i="1"/>
  <c r="EQ94" i="1"/>
  <c r="EU93" i="1"/>
  <c r="EQ93" i="1"/>
  <c r="EU92" i="1"/>
  <c r="EQ92" i="1"/>
  <c r="EQ88" i="1"/>
  <c r="EQ87" i="1"/>
  <c r="EQ86" i="1"/>
  <c r="DY146" i="1"/>
  <c r="DY145" i="1"/>
  <c r="DY144" i="1"/>
  <c r="EC140" i="1"/>
  <c r="DY140" i="1"/>
  <c r="EC139" i="1"/>
  <c r="DY139" i="1"/>
  <c r="EC138" i="1"/>
  <c r="DY138" i="1"/>
  <c r="EG134" i="1"/>
  <c r="EC134" i="1"/>
  <c r="DY134" i="1"/>
  <c r="EG133" i="1"/>
  <c r="EC133" i="1"/>
  <c r="DY133" i="1"/>
  <c r="EG132" i="1"/>
  <c r="EC132" i="1"/>
  <c r="DY132" i="1"/>
  <c r="EG128" i="1"/>
  <c r="EC128" i="1"/>
  <c r="EG127" i="1"/>
  <c r="EC127" i="1"/>
  <c r="DY127" i="1"/>
  <c r="EG126" i="1"/>
  <c r="EC126" i="1"/>
  <c r="DY126" i="1"/>
  <c r="DY122" i="1"/>
  <c r="DY121" i="1"/>
  <c r="EG116" i="1"/>
  <c r="EC116" i="1"/>
  <c r="DY116" i="1"/>
  <c r="EG115" i="1"/>
  <c r="EC115" i="1"/>
  <c r="DY115" i="1"/>
  <c r="EG114" i="1"/>
  <c r="EC114" i="1"/>
  <c r="EG111" i="1"/>
  <c r="DY111" i="1"/>
  <c r="EG110" i="1"/>
  <c r="EC110" i="1"/>
  <c r="DY110" i="1"/>
  <c r="EG109" i="1"/>
  <c r="EC109" i="1"/>
  <c r="DY109" i="1"/>
  <c r="EC108" i="1"/>
  <c r="DY106" i="1"/>
  <c r="DY105" i="1"/>
  <c r="EG104" i="1"/>
  <c r="EC104" i="1"/>
  <c r="DY104" i="1"/>
  <c r="EG103" i="1"/>
  <c r="EC103" i="1"/>
  <c r="EC102" i="1"/>
  <c r="DY100" i="1"/>
  <c r="EG99" i="1"/>
  <c r="EC99" i="1"/>
  <c r="DY99" i="1"/>
  <c r="EG98" i="1"/>
  <c r="EC98" i="1"/>
  <c r="DY98" i="1"/>
  <c r="EG97" i="1"/>
  <c r="EC97" i="1"/>
  <c r="EG94" i="1"/>
  <c r="EC94" i="1"/>
  <c r="EG93" i="1"/>
  <c r="EC93" i="1"/>
  <c r="EG92" i="1"/>
  <c r="EC92" i="1"/>
  <c r="EC88" i="1"/>
  <c r="EC87" i="1"/>
  <c r="EC86" i="1"/>
  <c r="DK146" i="1"/>
  <c r="DK145" i="1"/>
  <c r="DK144" i="1"/>
  <c r="DO140" i="1"/>
  <c r="DK140" i="1"/>
  <c r="DO139" i="1"/>
  <c r="DK139" i="1"/>
  <c r="DO138" i="1"/>
  <c r="DK138" i="1"/>
  <c r="DS134" i="1"/>
  <c r="DO134" i="1"/>
  <c r="DK134" i="1"/>
  <c r="DS133" i="1"/>
  <c r="DO133" i="1"/>
  <c r="DK133" i="1"/>
  <c r="DS132" i="1"/>
  <c r="DO132" i="1"/>
  <c r="DK132" i="1"/>
  <c r="DS128" i="1"/>
  <c r="DO128" i="1"/>
  <c r="DS127" i="1"/>
  <c r="DO127" i="1"/>
  <c r="DK127" i="1"/>
  <c r="DS126" i="1"/>
  <c r="DO126" i="1"/>
  <c r="DK126" i="1"/>
  <c r="DK122" i="1"/>
  <c r="DK121" i="1"/>
  <c r="DS116" i="1"/>
  <c r="DO116" i="1"/>
  <c r="DK116" i="1"/>
  <c r="DS115" i="1"/>
  <c r="DO115" i="1"/>
  <c r="DK115" i="1"/>
  <c r="DS114" i="1"/>
  <c r="DO114" i="1"/>
  <c r="DS111" i="1"/>
  <c r="DK111" i="1"/>
  <c r="DS110" i="1"/>
  <c r="DO110" i="1"/>
  <c r="DK110" i="1"/>
  <c r="DS109" i="1"/>
  <c r="DO109" i="1"/>
  <c r="DK109" i="1"/>
  <c r="DO108" i="1"/>
  <c r="DK106" i="1"/>
  <c r="DK105" i="1"/>
  <c r="DS104" i="1"/>
  <c r="DO104" i="1"/>
  <c r="DK104" i="1"/>
  <c r="DS103" i="1"/>
  <c r="DO103" i="1"/>
  <c r="DO102" i="1"/>
  <c r="DK100" i="1"/>
  <c r="DS99" i="1"/>
  <c r="DO99" i="1"/>
  <c r="DK99" i="1"/>
  <c r="DS98" i="1"/>
  <c r="DO98" i="1"/>
  <c r="DK98" i="1"/>
  <c r="DS97" i="1"/>
  <c r="DO97" i="1"/>
  <c r="DS94" i="1"/>
  <c r="DO94" i="1"/>
  <c r="DS93" i="1"/>
  <c r="DO93" i="1"/>
  <c r="DS92" i="1"/>
  <c r="DO92" i="1"/>
  <c r="DO88" i="1"/>
  <c r="DO87" i="1"/>
  <c r="DO86" i="1"/>
  <c r="CW146" i="1"/>
  <c r="CW145" i="1"/>
  <c r="CW144" i="1"/>
  <c r="DA140" i="1"/>
  <c r="CW140" i="1"/>
  <c r="DA139" i="1"/>
  <c r="CW139" i="1"/>
  <c r="DA138" i="1"/>
  <c r="CW138" i="1"/>
  <c r="DE134" i="1"/>
  <c r="DA134" i="1"/>
  <c r="CW134" i="1"/>
  <c r="DE133" i="1"/>
  <c r="DA133" i="1"/>
  <c r="CW133" i="1"/>
  <c r="DE132" i="1"/>
  <c r="DA132" i="1"/>
  <c r="CW132" i="1"/>
  <c r="DE128" i="1"/>
  <c r="DA128" i="1"/>
  <c r="DE127" i="1"/>
  <c r="DA127" i="1"/>
  <c r="CW127" i="1"/>
  <c r="DE126" i="1"/>
  <c r="DA126" i="1"/>
  <c r="CW126" i="1"/>
  <c r="CW122" i="1"/>
  <c r="CW121" i="1"/>
  <c r="DE116" i="1"/>
  <c r="DA116" i="1"/>
  <c r="CW116" i="1"/>
  <c r="DE115" i="1"/>
  <c r="DA115" i="1"/>
  <c r="CW115" i="1"/>
  <c r="DE114" i="1"/>
  <c r="DA114" i="1"/>
  <c r="DE111" i="1"/>
  <c r="CW111" i="1"/>
  <c r="DE110" i="1"/>
  <c r="DA110" i="1"/>
  <c r="CW110" i="1"/>
  <c r="DE109" i="1"/>
  <c r="DA109" i="1"/>
  <c r="CW109" i="1"/>
  <c r="DA108" i="1"/>
  <c r="CW106" i="1"/>
  <c r="CW105" i="1"/>
  <c r="DE104" i="1"/>
  <c r="DA104" i="1"/>
  <c r="CW104" i="1"/>
  <c r="DE103" i="1"/>
  <c r="DA103" i="1"/>
  <c r="DA102" i="1"/>
  <c r="CW100" i="1"/>
  <c r="DE99" i="1"/>
  <c r="DA99" i="1"/>
  <c r="CW99" i="1"/>
  <c r="DE98" i="1"/>
  <c r="DA98" i="1"/>
  <c r="CW98" i="1"/>
  <c r="DE97" i="1"/>
  <c r="DA97" i="1"/>
  <c r="DE94" i="1"/>
  <c r="DA94" i="1"/>
  <c r="DE93" i="1"/>
  <c r="DA93" i="1"/>
  <c r="DE92" i="1"/>
  <c r="DA92" i="1"/>
  <c r="DA88" i="1"/>
  <c r="DA87" i="1"/>
  <c r="DA86" i="1"/>
  <c r="CI146" i="1"/>
  <c r="CI145" i="1"/>
  <c r="CI144" i="1"/>
  <c r="CM140" i="1"/>
  <c r="CI140" i="1"/>
  <c r="CM139" i="1"/>
  <c r="CI139" i="1"/>
  <c r="CM138" i="1"/>
  <c r="CI138" i="1"/>
  <c r="CQ134" i="1"/>
  <c r="CM134" i="1"/>
  <c r="CI134" i="1"/>
  <c r="CQ133" i="1"/>
  <c r="CM133" i="1"/>
  <c r="CI133" i="1"/>
  <c r="CQ132" i="1"/>
  <c r="CM132" i="1"/>
  <c r="CI132" i="1"/>
  <c r="CQ128" i="1"/>
  <c r="CM128" i="1"/>
  <c r="CQ127" i="1"/>
  <c r="CM127" i="1"/>
  <c r="CI127" i="1"/>
  <c r="CQ126" i="1"/>
  <c r="CM126" i="1"/>
  <c r="CI126" i="1"/>
  <c r="CI122" i="1"/>
  <c r="CI121" i="1"/>
  <c r="CQ116" i="1"/>
  <c r="CM116" i="1"/>
  <c r="CI116" i="1"/>
  <c r="CQ115" i="1"/>
  <c r="CM115" i="1"/>
  <c r="CI115" i="1"/>
  <c r="CQ114" i="1"/>
  <c r="CM114" i="1"/>
  <c r="CQ111" i="1"/>
  <c r="CI111" i="1"/>
  <c r="CQ110" i="1"/>
  <c r="CM110" i="1"/>
  <c r="CI110" i="1"/>
  <c r="CQ109" i="1"/>
  <c r="CM109" i="1"/>
  <c r="CI109" i="1"/>
  <c r="CM108" i="1"/>
  <c r="CI106" i="1"/>
  <c r="CI105" i="1"/>
  <c r="CQ104" i="1"/>
  <c r="CM104" i="1"/>
  <c r="CI104" i="1"/>
  <c r="CQ103" i="1"/>
  <c r="CM103" i="1"/>
  <c r="CM102" i="1"/>
  <c r="CI100" i="1"/>
  <c r="CQ99" i="1"/>
  <c r="CM99" i="1"/>
  <c r="CI99" i="1"/>
  <c r="CQ98" i="1"/>
  <c r="CM98" i="1"/>
  <c r="CI98" i="1"/>
  <c r="CQ97" i="1"/>
  <c r="CM97" i="1"/>
  <c r="CQ94" i="1"/>
  <c r="CM94" i="1"/>
  <c r="CQ93" i="1"/>
  <c r="CM93" i="1"/>
  <c r="CQ92" i="1"/>
  <c r="CM92" i="1"/>
  <c r="CM88" i="1"/>
  <c r="CM87" i="1"/>
  <c r="CM86" i="1"/>
  <c r="BU146" i="1"/>
  <c r="BU145" i="1"/>
  <c r="BU144" i="1"/>
  <c r="BY140" i="1"/>
  <c r="BU140" i="1"/>
  <c r="BY139" i="1"/>
  <c r="BU139" i="1"/>
  <c r="BY138" i="1"/>
  <c r="BU138" i="1"/>
  <c r="CC134" i="1"/>
  <c r="BY134" i="1"/>
  <c r="BU134" i="1"/>
  <c r="CC133" i="1"/>
  <c r="BY133" i="1"/>
  <c r="BU133" i="1"/>
  <c r="CC132" i="1"/>
  <c r="BY132" i="1"/>
  <c r="BU132" i="1"/>
  <c r="CC128" i="1"/>
  <c r="BY128" i="1"/>
  <c r="CC127" i="1"/>
  <c r="BY127" i="1"/>
  <c r="BU127" i="1"/>
  <c r="CC126" i="1"/>
  <c r="BY126" i="1"/>
  <c r="BU126" i="1"/>
  <c r="BU122" i="1"/>
  <c r="BU121" i="1"/>
  <c r="CC116" i="1"/>
  <c r="BY116" i="1"/>
  <c r="BU116" i="1"/>
  <c r="CC115" i="1"/>
  <c r="BY115" i="1"/>
  <c r="BU115" i="1"/>
  <c r="CC114" i="1"/>
  <c r="BY114" i="1"/>
  <c r="CC111" i="1"/>
  <c r="BU111" i="1"/>
  <c r="CC110" i="1"/>
  <c r="BY110" i="1"/>
  <c r="BU110" i="1"/>
  <c r="CC109" i="1"/>
  <c r="BY109" i="1"/>
  <c r="BU109" i="1"/>
  <c r="BY108" i="1"/>
  <c r="BU106" i="1"/>
  <c r="BU105" i="1"/>
  <c r="CC104" i="1"/>
  <c r="BY104" i="1"/>
  <c r="BU104" i="1"/>
  <c r="CC103" i="1"/>
  <c r="BY103" i="1"/>
  <c r="BY102" i="1"/>
  <c r="BU100" i="1"/>
  <c r="CC99" i="1"/>
  <c r="BY99" i="1"/>
  <c r="BU99" i="1"/>
  <c r="CC98" i="1"/>
  <c r="BY98" i="1"/>
  <c r="BU98" i="1"/>
  <c r="CC97" i="1"/>
  <c r="BY97" i="1"/>
  <c r="CC94" i="1"/>
  <c r="BY94" i="1"/>
  <c r="CC93" i="1"/>
  <c r="BY93" i="1"/>
  <c r="CC92" i="1"/>
  <c r="BY92" i="1"/>
  <c r="BY88" i="1"/>
  <c r="BY87" i="1"/>
  <c r="BY86" i="1"/>
  <c r="BG146" i="1"/>
  <c r="BG145" i="1"/>
  <c r="BG144" i="1"/>
  <c r="BK140" i="1"/>
  <c r="BG140" i="1"/>
  <c r="BK139" i="1"/>
  <c r="BG139" i="1"/>
  <c r="BK138" i="1"/>
  <c r="BG138" i="1"/>
  <c r="BO134" i="1"/>
  <c r="BK134" i="1"/>
  <c r="BG134" i="1"/>
  <c r="BO133" i="1"/>
  <c r="BK133" i="1"/>
  <c r="BG133" i="1"/>
  <c r="BO132" i="1"/>
  <c r="BK132" i="1"/>
  <c r="BG132" i="1"/>
  <c r="BO128" i="1"/>
  <c r="BK128" i="1"/>
  <c r="BO127" i="1"/>
  <c r="BK127" i="1"/>
  <c r="BG127" i="1"/>
  <c r="BO126" i="1"/>
  <c r="BK126" i="1"/>
  <c r="BG126" i="1"/>
  <c r="BG122" i="1"/>
  <c r="BG121" i="1"/>
  <c r="BO116" i="1"/>
  <c r="BK116" i="1"/>
  <c r="BG116" i="1"/>
  <c r="BO115" i="1"/>
  <c r="BK115" i="1"/>
  <c r="BG115" i="1"/>
  <c r="BO114" i="1"/>
  <c r="BK114" i="1"/>
  <c r="BO111" i="1"/>
  <c r="BG111" i="1"/>
  <c r="BO110" i="1"/>
  <c r="BK110" i="1"/>
  <c r="BG110" i="1"/>
  <c r="BO109" i="1"/>
  <c r="BK109" i="1"/>
  <c r="BG109" i="1"/>
  <c r="BK108" i="1"/>
  <c r="BG106" i="1"/>
  <c r="BG105" i="1"/>
  <c r="BO104" i="1"/>
  <c r="BK104" i="1"/>
  <c r="BG104" i="1"/>
  <c r="BO103" i="1"/>
  <c r="BK103" i="1"/>
  <c r="BK102" i="1"/>
  <c r="BG100" i="1"/>
  <c r="BO99" i="1"/>
  <c r="BK99" i="1"/>
  <c r="BG99" i="1"/>
  <c r="BO98" i="1"/>
  <c r="BK98" i="1"/>
  <c r="BG98" i="1"/>
  <c r="BO97" i="1"/>
  <c r="BK97" i="1"/>
  <c r="BO94" i="1"/>
  <c r="BK94" i="1"/>
  <c r="BO93" i="1"/>
  <c r="BK93" i="1"/>
  <c r="BO92" i="1"/>
  <c r="BK92" i="1"/>
  <c r="BK88" i="1"/>
  <c r="BK87" i="1"/>
  <c r="BK86" i="1"/>
  <c r="AS146" i="1"/>
  <c r="AS145" i="1"/>
  <c r="AS144" i="1"/>
  <c r="AW140" i="1"/>
  <c r="AS140" i="1"/>
  <c r="AW139" i="1"/>
  <c r="AS139" i="1"/>
  <c r="AW138" i="1"/>
  <c r="AS138" i="1"/>
  <c r="BA134" i="1"/>
  <c r="AW134" i="1"/>
  <c r="AS134" i="1"/>
  <c r="BA133" i="1"/>
  <c r="AW133" i="1"/>
  <c r="AS133" i="1"/>
  <c r="BA132" i="1"/>
  <c r="AW132" i="1"/>
  <c r="AS132" i="1"/>
  <c r="BA128" i="1"/>
  <c r="AW128" i="1"/>
  <c r="BA127" i="1"/>
  <c r="AW127" i="1"/>
  <c r="AS127" i="1"/>
  <c r="BA126" i="1"/>
  <c r="AW126" i="1"/>
  <c r="AS126" i="1"/>
  <c r="AS122" i="1"/>
  <c r="AS121" i="1"/>
  <c r="BA116" i="1"/>
  <c r="AW116" i="1"/>
  <c r="AS116" i="1"/>
  <c r="BA115" i="1"/>
  <c r="AW115" i="1"/>
  <c r="AS115" i="1"/>
  <c r="BA114" i="1"/>
  <c r="AW114" i="1"/>
  <c r="BA111" i="1"/>
  <c r="AS111" i="1"/>
  <c r="BA110" i="1"/>
  <c r="AW110" i="1"/>
  <c r="AS110" i="1"/>
  <c r="BA109" i="1"/>
  <c r="AW109" i="1"/>
  <c r="AS109" i="1"/>
  <c r="AW108" i="1"/>
  <c r="AS106" i="1"/>
  <c r="AS105" i="1"/>
  <c r="BA104" i="1"/>
  <c r="AW104" i="1"/>
  <c r="AS104" i="1"/>
  <c r="BA103" i="1"/>
  <c r="AW103" i="1"/>
  <c r="AW102" i="1"/>
  <c r="AS100" i="1"/>
  <c r="BA99" i="1"/>
  <c r="AW99" i="1"/>
  <c r="AS99" i="1"/>
  <c r="BA98" i="1"/>
  <c r="AW98" i="1"/>
  <c r="AS98" i="1"/>
  <c r="BA97" i="1"/>
  <c r="AW97" i="1"/>
  <c r="BA94" i="1"/>
  <c r="AW94" i="1"/>
  <c r="BA93" i="1"/>
  <c r="AW93" i="1"/>
  <c r="BA92" i="1"/>
  <c r="AW92" i="1"/>
  <c r="AW88" i="1"/>
  <c r="AW87" i="1"/>
  <c r="AW86" i="1"/>
  <c r="AE146" i="1"/>
  <c r="AE145" i="1"/>
  <c r="AE144" i="1"/>
  <c r="AI140" i="1"/>
  <c r="AE140" i="1"/>
  <c r="AI139" i="1"/>
  <c r="AE139" i="1"/>
  <c r="AI138" i="1"/>
  <c r="AE138" i="1"/>
  <c r="AM134" i="1"/>
  <c r="AI134" i="1"/>
  <c r="AE134" i="1"/>
  <c r="AM133" i="1"/>
  <c r="AI133" i="1"/>
  <c r="AE133" i="1"/>
  <c r="AM132" i="1"/>
  <c r="AI132" i="1"/>
  <c r="AE132" i="1"/>
  <c r="AM128" i="1"/>
  <c r="AI128" i="1"/>
  <c r="AM127" i="1"/>
  <c r="AI127" i="1"/>
  <c r="AE127" i="1"/>
  <c r="AM126" i="1"/>
  <c r="AI126" i="1"/>
  <c r="AE126" i="1"/>
  <c r="AE122" i="1"/>
  <c r="AE121" i="1"/>
  <c r="AM116" i="1"/>
  <c r="AI116" i="1"/>
  <c r="AE116" i="1"/>
  <c r="AM115" i="1"/>
  <c r="AI115" i="1"/>
  <c r="AE115" i="1"/>
  <c r="AM114" i="1"/>
  <c r="AI114" i="1"/>
  <c r="AM111" i="1"/>
  <c r="AE111" i="1"/>
  <c r="AM110" i="1"/>
  <c r="AI110" i="1"/>
  <c r="AE110" i="1"/>
  <c r="AM109" i="1"/>
  <c r="AI109" i="1"/>
  <c r="AE109" i="1"/>
  <c r="AI108" i="1"/>
  <c r="AE106" i="1"/>
  <c r="AE105" i="1"/>
  <c r="AM104" i="1"/>
  <c r="AI104" i="1"/>
  <c r="AE104" i="1"/>
  <c r="AM103" i="1"/>
  <c r="AI103" i="1"/>
  <c r="AI102" i="1"/>
  <c r="AE100" i="1"/>
  <c r="AM99" i="1"/>
  <c r="AI99" i="1"/>
  <c r="AE99" i="1"/>
  <c r="AM98" i="1"/>
  <c r="AI98" i="1"/>
  <c r="AE98" i="1"/>
  <c r="AM97" i="1"/>
  <c r="AI97" i="1"/>
  <c r="AM94" i="1"/>
  <c r="AI94" i="1"/>
  <c r="AM93" i="1"/>
  <c r="AI93" i="1"/>
  <c r="AM92" i="1"/>
  <c r="AI92" i="1"/>
  <c r="AI88" i="1"/>
  <c r="AI87" i="1"/>
  <c r="AI86" i="1"/>
  <c r="Y97" i="1"/>
  <c r="Y103" i="1"/>
  <c r="Y104" i="1"/>
  <c r="Y114" i="1"/>
  <c r="Y132" i="1"/>
  <c r="Y128" i="1"/>
  <c r="Y127" i="1"/>
  <c r="Y126" i="1"/>
  <c r="Q140" i="1"/>
  <c r="Q139" i="1"/>
  <c r="Q138" i="1"/>
  <c r="U140" i="1" l="1"/>
  <c r="U139" i="1"/>
  <c r="U138" i="1"/>
  <c r="U116" i="1"/>
  <c r="U115" i="1"/>
  <c r="U114" i="1"/>
  <c r="U108" i="1"/>
  <c r="U110" i="1"/>
  <c r="U109" i="1"/>
  <c r="U97" i="1"/>
  <c r="U98" i="1"/>
  <c r="U99" i="1"/>
  <c r="Q116" i="1"/>
  <c r="Q115" i="1"/>
  <c r="U104" i="1" l="1"/>
  <c r="U103" i="1"/>
  <c r="U102" i="1"/>
  <c r="U86" i="1"/>
  <c r="Y134" i="1"/>
  <c r="Y133" i="1"/>
  <c r="Y116" i="1"/>
  <c r="Y115" i="1"/>
  <c r="Y111" i="1"/>
  <c r="Y110" i="1"/>
  <c r="Y109" i="1"/>
  <c r="Y99" i="1"/>
  <c r="Y98" i="1"/>
  <c r="Y94" i="1"/>
  <c r="Y93" i="1"/>
  <c r="Y92" i="1"/>
  <c r="U132" i="1"/>
  <c r="U134" i="1"/>
  <c r="U133" i="1"/>
  <c r="U128" i="1"/>
  <c r="U127" i="1"/>
  <c r="U126" i="1"/>
  <c r="U94" i="1"/>
  <c r="U93" i="1"/>
  <c r="U92" i="1"/>
  <c r="Q146" i="1"/>
  <c r="Q145" i="1"/>
  <c r="Q144" i="1"/>
  <c r="Q134" i="1"/>
  <c r="Q133" i="1"/>
  <c r="Q132" i="1"/>
  <c r="Q127" i="1"/>
  <c r="Q126" i="1"/>
  <c r="Q122" i="1"/>
  <c r="Q121" i="1"/>
  <c r="Q111" i="1"/>
  <c r="Q110" i="1"/>
  <c r="Q109" i="1"/>
  <c r="Q106" i="1"/>
  <c r="Q105" i="1"/>
  <c r="Q99" i="1"/>
  <c r="Q98" i="1"/>
  <c r="Q100" i="1"/>
  <c r="F55" i="1"/>
  <c r="J132" i="1" s="1"/>
  <c r="F54" i="1"/>
  <c r="F42" i="1"/>
  <c r="F138" i="1" s="1"/>
  <c r="F27" i="1"/>
  <c r="B144" i="1" s="1"/>
  <c r="F26" i="1"/>
  <c r="F25" i="1"/>
  <c r="B132" i="1" s="1"/>
  <c r="U88" i="1"/>
  <c r="U87" i="1"/>
  <c r="F46" i="1"/>
  <c r="F45" i="1"/>
  <c r="F17" i="1"/>
  <c r="F52" i="1"/>
  <c r="J114" i="1" s="1"/>
  <c r="F51" i="1"/>
  <c r="J109" i="1" s="1"/>
  <c r="F49" i="1"/>
  <c r="J97" i="1" s="1"/>
  <c r="F50" i="1"/>
  <c r="J103" i="1" s="1"/>
  <c r="F48" i="1"/>
  <c r="J92" i="1" s="1"/>
  <c r="F47" i="1"/>
  <c r="F41" i="1"/>
  <c r="F132" i="1" s="1"/>
  <c r="F40" i="1"/>
  <c r="F126" i="1" s="1"/>
  <c r="F38" i="1"/>
  <c r="F114" i="1" s="1"/>
  <c r="F37" i="1"/>
  <c r="F108" i="1" s="1"/>
  <c r="F36" i="1"/>
  <c r="F102" i="1" s="1"/>
  <c r="F35" i="1"/>
  <c r="F97" i="1" s="1"/>
  <c r="F34" i="1"/>
  <c r="F92" i="1" s="1"/>
  <c r="F33" i="1"/>
  <c r="F86" i="1" s="1"/>
  <c r="F32" i="1"/>
  <c r="F31" i="1"/>
  <c r="F24" i="1"/>
  <c r="B126" i="1" s="1"/>
  <c r="F23" i="1"/>
  <c r="B121" i="1" s="1"/>
  <c r="F22" i="1"/>
  <c r="B115" i="1" s="1"/>
  <c r="F21" i="1"/>
  <c r="B109" i="1" s="1"/>
  <c r="F20" i="1"/>
  <c r="B104" i="1" s="1"/>
  <c r="F19" i="1"/>
  <c r="B98" i="1" s="1"/>
  <c r="F18" i="1"/>
  <c r="F16" i="1"/>
  <c r="F15" i="1"/>
  <c r="EG74" i="1"/>
  <c r="DS82" i="1"/>
  <c r="FI75" i="1"/>
  <c r="Q88" i="1"/>
  <c r="CC75" i="1"/>
  <c r="AM82" i="1"/>
  <c r="Y74" i="1"/>
  <c r="BG81" i="1"/>
  <c r="FA81" i="1"/>
  <c r="AS88" i="1"/>
  <c r="DK75" i="1"/>
  <c r="DK88" i="1"/>
  <c r="Q93" i="1"/>
  <c r="BU92" i="1"/>
  <c r="AM80" i="1"/>
  <c r="BY76" i="1"/>
  <c r="BA87" i="1"/>
  <c r="BG88" i="1"/>
  <c r="CQ74" i="1"/>
  <c r="BG80" i="1"/>
  <c r="K81" i="1"/>
  <c r="DS76" i="1"/>
  <c r="FE80" i="1"/>
  <c r="EG82" i="1"/>
  <c r="DY92" i="1"/>
  <c r="BU86" i="1"/>
  <c r="AS80" i="1"/>
  <c r="CI88" i="1"/>
  <c r="AI74" i="1"/>
  <c r="FE76" i="1"/>
  <c r="K87" i="1"/>
  <c r="DS80" i="1"/>
  <c r="CM75" i="1"/>
  <c r="BU80" i="1"/>
  <c r="EM81" i="1"/>
  <c r="EG86" i="1"/>
  <c r="DY86" i="1"/>
  <c r="CW87" i="1"/>
  <c r="AW80" i="1"/>
  <c r="CM76" i="1"/>
  <c r="Q86" i="1"/>
  <c r="CC87" i="1"/>
  <c r="AE81" i="1"/>
  <c r="C88" i="1"/>
  <c r="CQ82" i="1"/>
  <c r="AM75" i="1"/>
  <c r="CI81" i="1"/>
  <c r="CI93" i="1"/>
  <c r="K76" i="1"/>
  <c r="AS74" i="1"/>
  <c r="EM87" i="1"/>
  <c r="EC74" i="1"/>
  <c r="CI92" i="1"/>
  <c r="AM86" i="1"/>
  <c r="CQ75" i="1"/>
  <c r="BK82" i="1"/>
  <c r="BK76" i="1"/>
  <c r="FA88" i="1"/>
  <c r="DO76" i="1"/>
  <c r="DO80" i="1"/>
  <c r="AW74" i="1"/>
  <c r="BY74" i="1"/>
  <c r="K75" i="1"/>
  <c r="AS75" i="1"/>
  <c r="CM74" i="1"/>
  <c r="AW81" i="1"/>
  <c r="BY75" i="1"/>
  <c r="AW76" i="1"/>
  <c r="DK93" i="1"/>
  <c r="C87" i="1"/>
  <c r="DA74" i="1"/>
  <c r="FA93" i="1"/>
  <c r="BU81" i="1"/>
  <c r="CC76" i="1"/>
  <c r="U82" i="1"/>
  <c r="EG81" i="1"/>
  <c r="BO80" i="1"/>
  <c r="EM92" i="1"/>
  <c r="BU88" i="1"/>
  <c r="DS74" i="1"/>
  <c r="U81" i="1"/>
  <c r="BA74" i="1"/>
  <c r="G80" i="1"/>
  <c r="DY74" i="1"/>
  <c r="DS75" i="1"/>
  <c r="DA80" i="1"/>
  <c r="CW81" i="1"/>
  <c r="BY81" i="1"/>
  <c r="CI86" i="1"/>
  <c r="CW75" i="1"/>
  <c r="CI87" i="1"/>
  <c r="EM86" i="1"/>
  <c r="EQ75" i="1"/>
  <c r="DY93" i="1"/>
  <c r="AI75" i="1"/>
  <c r="DY75" i="1"/>
  <c r="EU76" i="1"/>
  <c r="BG75" i="1"/>
  <c r="EM88" i="1"/>
  <c r="DY81" i="1"/>
  <c r="AS87" i="1"/>
  <c r="BA81" i="1"/>
  <c r="FA75" i="1"/>
  <c r="CW92" i="1"/>
  <c r="EQ76" i="1"/>
  <c r="AE92" i="1"/>
  <c r="Y76" i="1"/>
  <c r="EG75" i="1"/>
  <c r="AM81" i="1"/>
  <c r="DO81" i="1"/>
  <c r="EU82" i="1"/>
  <c r="EQ74" i="1"/>
  <c r="FE81" i="1"/>
  <c r="BK74" i="1"/>
  <c r="BY82" i="1"/>
  <c r="CC80" i="1"/>
  <c r="CQ81" i="1"/>
  <c r="Y75" i="1"/>
  <c r="BO74" i="1"/>
  <c r="C81" i="1"/>
  <c r="EC81" i="1"/>
  <c r="Y86" i="1"/>
  <c r="CM82" i="1"/>
  <c r="DE81" i="1"/>
  <c r="DE76" i="1"/>
  <c r="EU87" i="1"/>
  <c r="BG87" i="1"/>
  <c r="FE74" i="1"/>
  <c r="FA92" i="1"/>
  <c r="G81" i="1"/>
  <c r="BO86" i="1"/>
  <c r="EG80" i="1"/>
  <c r="EC76" i="1"/>
  <c r="BK75" i="1"/>
  <c r="BA82" i="1"/>
  <c r="C86" i="1"/>
  <c r="CI80" i="1"/>
  <c r="CW80" i="1"/>
  <c r="EU74" i="1"/>
  <c r="DS81" i="1"/>
  <c r="EQ82" i="1"/>
  <c r="FA74" i="1"/>
  <c r="AE74" i="1"/>
  <c r="AW82" i="1"/>
  <c r="EC80" i="1"/>
  <c r="AW75" i="1"/>
  <c r="AI81" i="1"/>
  <c r="DO74" i="1"/>
  <c r="G82" i="1"/>
  <c r="DA82" i="1"/>
  <c r="DK74" i="1"/>
  <c r="BU75" i="1"/>
  <c r="BK80" i="1"/>
  <c r="AM87" i="1"/>
  <c r="FA80" i="1"/>
  <c r="DK80" i="1"/>
  <c r="FI81" i="1"/>
  <c r="Q87" i="1"/>
  <c r="AS93" i="1"/>
  <c r="C92" i="1"/>
  <c r="EU81" i="1"/>
  <c r="FI86" i="1"/>
  <c r="K82" i="1"/>
  <c r="U74" i="1"/>
  <c r="CW93" i="1"/>
  <c r="CC81" i="1"/>
  <c r="Q81" i="1"/>
  <c r="FA87" i="1"/>
  <c r="BO87" i="1"/>
  <c r="BA86" i="1"/>
  <c r="Y82" i="1"/>
  <c r="DO82" i="1"/>
  <c r="EM80" i="1"/>
  <c r="BG86" i="1"/>
  <c r="BO82" i="1"/>
  <c r="CQ80" i="1"/>
  <c r="DK81" i="1"/>
  <c r="DY80" i="1"/>
  <c r="CI74" i="1"/>
  <c r="CW88" i="1"/>
  <c r="AI82" i="1"/>
  <c r="FI80" i="1"/>
  <c r="DY87" i="1"/>
  <c r="AI76" i="1"/>
  <c r="BU87" i="1"/>
  <c r="BA75" i="1"/>
  <c r="AE88" i="1"/>
  <c r="EM75" i="1"/>
  <c r="BG74" i="1"/>
  <c r="Y80" i="1"/>
  <c r="DE82" i="1"/>
  <c r="FE75" i="1"/>
  <c r="CQ87" i="1"/>
  <c r="U80" i="1"/>
  <c r="Q75" i="1"/>
  <c r="EQ80" i="1"/>
  <c r="K80" i="1"/>
  <c r="AE87" i="1"/>
  <c r="AE93" i="1"/>
  <c r="BK81" i="1"/>
  <c r="CW86" i="1"/>
  <c r="DK92" i="1"/>
  <c r="BG92" i="1"/>
  <c r="U76" i="1"/>
  <c r="Y81" i="1"/>
  <c r="DY88" i="1"/>
  <c r="FE82" i="1"/>
  <c r="Q92" i="1"/>
  <c r="C80" i="1"/>
  <c r="K74" i="1"/>
  <c r="CM81" i="1"/>
  <c r="FI76" i="1"/>
  <c r="EU75" i="1"/>
  <c r="FA86" i="1"/>
  <c r="AM74" i="1"/>
  <c r="FI87" i="1"/>
  <c r="DE80" i="1"/>
  <c r="Y87" i="1"/>
  <c r="G75" i="1"/>
  <c r="Q74" i="1"/>
  <c r="BU93" i="1"/>
  <c r="EG87" i="1"/>
  <c r="AE75" i="1"/>
  <c r="EC82" i="1"/>
  <c r="DA75" i="1"/>
  <c r="EC75" i="1"/>
  <c r="EU80" i="1"/>
  <c r="BY80" i="1"/>
  <c r="DE87" i="1"/>
  <c r="G74" i="1"/>
  <c r="BO75" i="1"/>
  <c r="Q80" i="1"/>
  <c r="DK86" i="1"/>
  <c r="G76" i="1"/>
  <c r="C93" i="1"/>
  <c r="CW74" i="1"/>
  <c r="FI82" i="1"/>
  <c r="EQ81" i="1"/>
  <c r="AE80" i="1"/>
  <c r="DE75" i="1"/>
  <c r="EG76" i="1"/>
  <c r="C74" i="1"/>
  <c r="BO81" i="1"/>
  <c r="DO75" i="1"/>
  <c r="AS92" i="1"/>
  <c r="CM80" i="1"/>
  <c r="CC82" i="1"/>
  <c r="DK87" i="1"/>
  <c r="DE86" i="1"/>
  <c r="DE74" i="1"/>
  <c r="BO76" i="1"/>
  <c r="U75" i="1"/>
  <c r="C75" i="1"/>
  <c r="AM76" i="1"/>
  <c r="CQ86" i="1"/>
  <c r="K86" i="1"/>
  <c r="CC74" i="1"/>
  <c r="AS86" i="1"/>
  <c r="EU86" i="1"/>
  <c r="AE86" i="1"/>
  <c r="BG93" i="1"/>
  <c r="BA76" i="1"/>
  <c r="BU74" i="1"/>
  <c r="DS86" i="1"/>
  <c r="EM93" i="1"/>
  <c r="CC86" i="1"/>
  <c r="CQ76" i="1"/>
  <c r="DS87" i="1"/>
  <c r="FI74" i="1"/>
  <c r="CI75" i="1"/>
  <c r="EM74" i="1"/>
  <c r="AS81" i="1"/>
  <c r="DA81" i="1"/>
  <c r="AI80" i="1"/>
  <c r="BA80" i="1"/>
  <c r="DA76" i="1"/>
</calcChain>
</file>

<file path=xl/sharedStrings.xml><?xml version="1.0" encoding="utf-8"?>
<sst xmlns="http://schemas.openxmlformats.org/spreadsheetml/2006/main" count="1857" uniqueCount="66">
  <si>
    <t>Частота тренировок</t>
  </si>
  <si>
    <t>3 раза в неделю</t>
  </si>
  <si>
    <t>Ограничения</t>
  </si>
  <si>
    <t xml:space="preserve">Уровень </t>
  </si>
  <si>
    <t>Вес</t>
  </si>
  <si>
    <t>дистрофия или лишний вес</t>
  </si>
  <si>
    <t>Введите пробные результаты:</t>
  </si>
  <si>
    <t>Повторения</t>
  </si>
  <si>
    <t>ПМ</t>
  </si>
  <si>
    <r>
      <rPr>
        <b/>
        <sz val="26"/>
        <color theme="1"/>
        <rFont val="Comic Sans MS"/>
        <family val="4"/>
        <charset val="204"/>
      </rPr>
      <t>1</t>
    </r>
    <r>
      <rPr>
        <b/>
        <sz val="11"/>
        <color theme="1"/>
        <rFont val="Comic Sans MS"/>
        <family val="4"/>
        <charset val="204"/>
      </rPr>
      <t xml:space="preserve"> день</t>
    </r>
  </si>
  <si>
    <t>Введите свой вес:</t>
  </si>
  <si>
    <t>Жим лежа</t>
  </si>
  <si>
    <t>Введите шаг гантелей:</t>
  </si>
  <si>
    <t>Вес пишем через запятую</t>
  </si>
  <si>
    <t xml:space="preserve">Косичка на трицепс </t>
  </si>
  <si>
    <t xml:space="preserve">Прямая рукоятка на трицепс </t>
  </si>
  <si>
    <t xml:space="preserve">Верт тяга блока паралл хв </t>
  </si>
  <si>
    <t xml:space="preserve">Вертикальная тяга в hammer </t>
  </si>
  <si>
    <t xml:space="preserve">Гиперэкстензия на поясницу </t>
  </si>
  <si>
    <t>Пресс скрутки</t>
  </si>
  <si>
    <t>Икры сидя в тренажере</t>
  </si>
  <si>
    <r>
      <rPr>
        <b/>
        <sz val="26"/>
        <color theme="1"/>
        <rFont val="Comic Sans MS"/>
        <family val="4"/>
        <charset val="204"/>
      </rPr>
      <t>2</t>
    </r>
    <r>
      <rPr>
        <b/>
        <sz val="11"/>
        <color theme="1"/>
        <rFont val="Comic Sans MS"/>
        <family val="4"/>
        <charset val="204"/>
      </rPr>
      <t xml:space="preserve"> день</t>
    </r>
  </si>
  <si>
    <t>Присед</t>
  </si>
  <si>
    <t>Тяга т грифа на заднюю дельту</t>
  </si>
  <si>
    <t xml:space="preserve">Махи средние дельты </t>
  </si>
  <si>
    <t>Задние дельты Fly</t>
  </si>
  <si>
    <t xml:space="preserve">Гиперэкстензия </t>
  </si>
  <si>
    <t xml:space="preserve">Предплечья сгибатели </t>
  </si>
  <si>
    <r>
      <rPr>
        <b/>
        <sz val="26"/>
        <color theme="1"/>
        <rFont val="Comic Sans MS"/>
        <family val="4"/>
        <charset val="204"/>
      </rPr>
      <t>3</t>
    </r>
    <r>
      <rPr>
        <b/>
        <sz val="11"/>
        <color theme="1"/>
        <rFont val="Comic Sans MS"/>
        <family val="4"/>
        <charset val="204"/>
      </rPr>
      <t xml:space="preserve"> день</t>
    </r>
  </si>
  <si>
    <t xml:space="preserve">Брусья </t>
  </si>
  <si>
    <t xml:space="preserve">Подтягивания паралл хв </t>
  </si>
  <si>
    <t>Бицепс штанга</t>
  </si>
  <si>
    <t>Икры стоя в смитте</t>
  </si>
  <si>
    <t>SERGEY FIT</t>
  </si>
  <si>
    <t>неделя</t>
  </si>
  <si>
    <t>1 день</t>
  </si>
  <si>
    <t>2 день</t>
  </si>
  <si>
    <t>3 день</t>
  </si>
  <si>
    <t>Сеты</t>
  </si>
  <si>
    <t>Повт.</t>
  </si>
  <si>
    <t xml:space="preserve">Верт тяга блока широкий прямой хв </t>
  </si>
  <si>
    <t xml:space="preserve">Присед </t>
  </si>
  <si>
    <t>Жим лежа узким</t>
  </si>
  <si>
    <t xml:space="preserve">Армейский жим </t>
  </si>
  <si>
    <t>Подтягивания прямой хв</t>
  </si>
  <si>
    <t>Жим гантелей лежа 180"</t>
  </si>
  <si>
    <t xml:space="preserve">Жим гантелей на наклонной </t>
  </si>
  <si>
    <t xml:space="preserve">Тяга штанги в наклоне </t>
  </si>
  <si>
    <t xml:space="preserve">Сеты </t>
  </si>
  <si>
    <t xml:space="preserve">Махи на заднюю дельту </t>
  </si>
  <si>
    <t xml:space="preserve">Тяга к груди </t>
  </si>
  <si>
    <t xml:space="preserve">Шраги </t>
  </si>
  <si>
    <t xml:space="preserve">Сведение ног сидя </t>
  </si>
  <si>
    <t xml:space="preserve">Разведение ног сидя </t>
  </si>
  <si>
    <t>ВК</t>
  </si>
  <si>
    <t>https://vk.com/sergey_fitnes63</t>
  </si>
  <si>
    <t>TELEGRAM</t>
  </si>
  <si>
    <t>https://t.me/Sergey_FIT_bot</t>
  </si>
  <si>
    <t>РАЗМИНКА</t>
  </si>
  <si>
    <t>https://youtu.be/xHGW1HOBrXY?feature=shared</t>
  </si>
  <si>
    <t xml:space="preserve">Более 4 лет </t>
  </si>
  <si>
    <t xml:space="preserve">Бицепс с гантелями стоя </t>
  </si>
  <si>
    <t>Сведение ног сидя</t>
  </si>
  <si>
    <t>Разведение ног сидя</t>
  </si>
  <si>
    <t>Без веса</t>
  </si>
  <si>
    <t xml:space="preserve">Учтены все ограничесния. Тренировки направлены на исправление сколиоза,лордоза, кифоза, сутулости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</si>
</sst>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;;;"/>
  </numFmts>
  <fonts count="3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30"/>
      <color theme="1"/>
      <name val="Furore"/>
    </font>
    <font>
      <sz val="11"/>
      <color theme="1"/>
      <name val="Calibri"/>
      <family val="2"/>
      <charset val="204"/>
    </font>
    <font>
      <sz val="18"/>
      <color theme="1"/>
      <name val="Comic Sans MS"/>
      <family val="4"/>
      <charset val="204"/>
    </font>
    <font>
      <sz val="11"/>
      <name val="Calibri"/>
      <family val="2"/>
      <charset val="204"/>
    </font>
    <font>
      <sz val="24"/>
      <color rgb="FF2E75B5"/>
      <name val="Comic Sans MS"/>
      <family val="4"/>
      <charset val="204"/>
    </font>
    <font>
      <sz val="11"/>
      <color theme="1"/>
      <name val="Comic Sans MS"/>
      <family val="4"/>
      <charset val="204"/>
    </font>
    <font>
      <sz val="20"/>
      <color rgb="FF2E75B5"/>
      <name val="Comic Sans MS"/>
      <family val="4"/>
      <charset val="204"/>
    </font>
    <font>
      <sz val="11"/>
      <color rgb="FF00B050"/>
      <name val="Comic Sans MS"/>
      <family val="4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omic Sans MS"/>
      <family val="4"/>
      <charset val="204"/>
    </font>
    <font>
      <sz val="13"/>
      <color theme="1"/>
      <name val="Comic Sans MS"/>
      <family val="4"/>
      <charset val="204"/>
    </font>
    <font>
      <sz val="12"/>
      <color theme="1"/>
      <name val="Comic Sans MS"/>
      <family val="4"/>
      <charset val="204"/>
    </font>
    <font>
      <b/>
      <sz val="48"/>
      <color theme="0"/>
      <name val="Gill Sans"/>
    </font>
    <font>
      <b/>
      <sz val="32"/>
      <color rgb="FFC00000"/>
      <name val="Comic Sans MS"/>
      <family val="4"/>
      <charset val="204"/>
    </font>
    <font>
      <sz val="28"/>
      <color rgb="FFC00000"/>
      <name val="Comic Sans MS"/>
      <family val="4"/>
      <charset val="204"/>
    </font>
    <font>
      <b/>
      <sz val="24"/>
      <color rgb="FF7F7F7F"/>
      <name val="Gill Sans"/>
    </font>
    <font>
      <b/>
      <sz val="24"/>
      <color theme="1"/>
      <name val="Gill Sans"/>
    </font>
    <font>
      <sz val="10"/>
      <color theme="1"/>
      <name val="Arial"/>
      <family val="2"/>
      <charset val="204"/>
    </font>
    <font>
      <sz val="11"/>
      <color rgb="FF7F7F7F"/>
      <name val="Comic Sans MS"/>
      <family val="4"/>
      <charset val="204"/>
    </font>
    <font>
      <b/>
      <sz val="26"/>
      <color theme="1"/>
      <name val="Comic Sans MS"/>
      <family val="4"/>
      <charset val="204"/>
    </font>
    <font>
      <sz val="13"/>
      <color theme="1"/>
      <name val="Comic Sans MS"/>
      <family val="4"/>
      <charset val="204"/>
    </font>
    <font>
      <sz val="13"/>
      <name val="Comic Sans MS"/>
      <family val="4"/>
      <charset val="204"/>
    </font>
    <font>
      <b/>
      <sz val="22"/>
      <color rgb="FF00B050"/>
      <name val="Comic Sans MS"/>
      <family val="4"/>
      <charset val="204"/>
    </font>
    <font>
      <u/>
      <sz val="11"/>
      <color rgb="FF0000FF"/>
      <name val="Comic Sans MS"/>
      <family val="4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omic Sans MS"/>
      <family val="4"/>
      <charset val="204"/>
    </font>
    <font>
      <sz val="12"/>
      <name val="Comic Sans MS"/>
      <family val="4"/>
      <charset val="204"/>
    </font>
    <font>
      <sz val="14"/>
      <name val="Comic Sans MS"/>
      <family val="4"/>
      <charset val="204"/>
    </font>
  </fonts>
  <fills count="1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B1A79D"/>
        <bgColor rgb="FFB1A79D"/>
      </patternFill>
    </fill>
    <fill>
      <patternFill patternType="solid">
        <fgColor rgb="FFE2AC00"/>
        <bgColor rgb="FFE2AC00"/>
      </patternFill>
    </fill>
    <fill>
      <patternFill patternType="solid">
        <fgColor rgb="FF2E75B5"/>
        <bgColor rgb="FF2E75B5"/>
      </patternFill>
    </fill>
    <fill>
      <patternFill patternType="solid">
        <fgColor theme="1"/>
        <bgColor theme="1"/>
      </patternFill>
    </fill>
    <fill>
      <patternFill patternType="solid">
        <fgColor rgb="FF0C0C0C"/>
        <bgColor rgb="FF0C0C0C"/>
      </patternFill>
    </fill>
    <fill>
      <patternFill patternType="solid">
        <fgColor rgb="FFB1A79D"/>
        <bgColor rgb="FFE2AC00"/>
      </patternFill>
    </fill>
    <fill>
      <patternFill patternType="solid">
        <fgColor rgb="FFB1A79D"/>
        <bgColor indexed="64"/>
      </patternFill>
    </fill>
    <fill>
      <patternFill patternType="solid">
        <fgColor rgb="FF336699"/>
        <bgColor rgb="FF336699"/>
      </patternFill>
    </fill>
    <fill>
      <patternFill patternType="solid">
        <fgColor rgb="FF33CCFF"/>
        <bgColor rgb="FF33CCFF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 style="thick">
        <color rgb="FF00B050"/>
      </bottom>
      <diagonal/>
    </border>
    <border>
      <left style="thin">
        <color rgb="FF00B050"/>
      </left>
      <right/>
      <top style="thick">
        <color rgb="FF00B050"/>
      </top>
      <bottom style="thin">
        <color rgb="FF00B050"/>
      </bottom>
      <diagonal/>
    </border>
    <border>
      <left/>
      <right/>
      <top style="thick">
        <color rgb="FF00B050"/>
      </top>
      <bottom style="thin">
        <color rgb="FF00B050"/>
      </bottom>
      <diagonal/>
    </border>
    <border>
      <left/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6" fillId="0" borderId="0" applyNumberFormat="0" applyFill="0" applyBorder="0" applyAlignment="0" applyProtection="0"/>
    <xf numFmtId="0" fontId="1" fillId="0" borderId="25"/>
    <xf numFmtId="0" fontId="27" fillId="0" borderId="25" applyNumberFormat="0" applyFill="0" applyBorder="0" applyAlignment="0" applyProtection="0"/>
  </cellStyleXfs>
  <cellXfs count="140">
    <xf numFmtId="0" fontId="0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7" fillId="0" borderId="12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0" fontId="7" fillId="0" borderId="16" xfId="0" applyFont="1" applyBorder="1" applyAlignment="1">
      <alignment horizontal="center"/>
    </xf>
    <xf numFmtId="165" fontId="7" fillId="0" borderId="17" xfId="0" applyNumberFormat="1" applyFont="1" applyBorder="1" applyAlignment="1">
      <alignment horizontal="center" vertical="center"/>
    </xf>
    <xf numFmtId="0" fontId="3" fillId="6" borderId="18" xfId="0" applyFont="1" applyFill="1" applyBorder="1"/>
    <xf numFmtId="164" fontId="3" fillId="6" borderId="18" xfId="0" applyNumberFormat="1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2" fontId="3" fillId="6" borderId="18" xfId="0" applyNumberFormat="1" applyFont="1" applyFill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12" fillId="0" borderId="1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" fontId="3" fillId="0" borderId="0" xfId="0" applyNumberFormat="1" applyFont="1"/>
    <xf numFmtId="0" fontId="0" fillId="0" borderId="0" xfId="0" applyFont="1" applyAlignment="1"/>
    <xf numFmtId="0" fontId="22" fillId="0" borderId="27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5" xfId="0" applyFont="1" applyBorder="1" applyAlignment="1">
      <alignment horizontal="center"/>
    </xf>
    <xf numFmtId="166" fontId="10" fillId="0" borderId="25" xfId="0" applyNumberFormat="1" applyFont="1" applyBorder="1" applyAlignment="1">
      <alignment horizontal="center"/>
    </xf>
    <xf numFmtId="0" fontId="5" fillId="0" borderId="25" xfId="0" applyFont="1" applyBorder="1" applyAlignment="1"/>
    <xf numFmtId="165" fontId="7" fillId="0" borderId="26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5" fillId="0" borderId="20" xfId="0" applyFont="1" applyBorder="1" applyAlignment="1"/>
    <xf numFmtId="0" fontId="10" fillId="0" borderId="25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3" fillId="10" borderId="16" xfId="0" applyFont="1" applyFill="1" applyBorder="1" applyAlignment="1">
      <alignment horizontal="center" vertical="center"/>
    </xf>
    <xf numFmtId="0" fontId="13" fillId="11" borderId="1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7" fillId="0" borderId="34" xfId="0" applyFont="1" applyBorder="1" applyAlignment="1">
      <alignment horizontal="center" vertical="center"/>
    </xf>
    <xf numFmtId="0" fontId="12" fillId="5" borderId="26" xfId="0" applyFont="1" applyFill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15" fillId="0" borderId="21" xfId="0" applyFont="1" applyBorder="1" applyAlignment="1">
      <alignment horizontal="center" vertical="center"/>
    </xf>
    <xf numFmtId="0" fontId="5" fillId="0" borderId="23" xfId="0" applyFont="1" applyBorder="1"/>
    <xf numFmtId="0" fontId="12" fillId="8" borderId="13" xfId="0" applyFont="1" applyFill="1" applyBorder="1" applyAlignment="1">
      <alignment horizontal="center"/>
    </xf>
    <xf numFmtId="0" fontId="23" fillId="9" borderId="24" xfId="0" applyFont="1" applyFill="1" applyBorder="1" applyAlignment="1">
      <alignment horizontal="center"/>
    </xf>
    <xf numFmtId="0" fontId="23" fillId="9" borderId="11" xfId="0" applyFont="1" applyFill="1" applyBorder="1" applyAlignment="1">
      <alignment horizontal="center"/>
    </xf>
    <xf numFmtId="0" fontId="12" fillId="4" borderId="26" xfId="0" applyFont="1" applyFill="1" applyBorder="1" applyAlignment="1">
      <alignment horizontal="center"/>
    </xf>
    <xf numFmtId="0" fontId="22" fillId="4" borderId="26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0" fontId="22" fillId="8" borderId="26" xfId="0" applyFont="1" applyFill="1" applyBorder="1" applyAlignment="1">
      <alignment horizontal="center"/>
    </xf>
    <xf numFmtId="0" fontId="23" fillId="9" borderId="26" xfId="0" applyFont="1" applyFill="1" applyBorder="1" applyAlignment="1">
      <alignment horizontal="center"/>
    </xf>
    <xf numFmtId="0" fontId="22" fillId="2" borderId="26" xfId="0" applyFont="1" applyFill="1" applyBorder="1" applyAlignment="1">
      <alignment horizontal="center"/>
    </xf>
    <xf numFmtId="0" fontId="22" fillId="2" borderId="31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12" fillId="4" borderId="32" xfId="0" applyFont="1" applyFill="1" applyBorder="1" applyAlignment="1">
      <alignment horizontal="center"/>
    </xf>
    <xf numFmtId="0" fontId="12" fillId="4" borderId="33" xfId="0" applyFont="1" applyFill="1" applyBorder="1" applyAlignment="1">
      <alignment horizontal="center"/>
    </xf>
    <xf numFmtId="0" fontId="12" fillId="4" borderId="34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22" fillId="4" borderId="28" xfId="0" applyFont="1" applyFill="1" applyBorder="1" applyAlignment="1">
      <alignment horizontal="center"/>
    </xf>
    <xf numFmtId="0" fontId="12" fillId="8" borderId="26" xfId="0" applyFont="1" applyFill="1" applyBorder="1" applyAlignment="1">
      <alignment horizontal="center"/>
    </xf>
    <xf numFmtId="0" fontId="22" fillId="2" borderId="28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/>
    <xf numFmtId="0" fontId="16" fillId="0" borderId="22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5" fillId="0" borderId="22" xfId="0" applyFont="1" applyBorder="1"/>
    <xf numFmtId="0" fontId="14" fillId="7" borderId="19" xfId="0" applyFont="1" applyFill="1" applyBorder="1" applyAlignment="1">
      <alignment horizontal="center" vertical="center" textRotation="255"/>
    </xf>
    <xf numFmtId="0" fontId="12" fillId="5" borderId="3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12" fillId="5" borderId="34" xfId="0" applyFont="1" applyFill="1" applyBorder="1" applyAlignment="1">
      <alignment horizontal="center"/>
    </xf>
    <xf numFmtId="0" fontId="22" fillId="2" borderId="24" xfId="0" applyFont="1" applyFill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164" fontId="9" fillId="0" borderId="13" xfId="0" applyNumberFormat="1" applyFont="1" applyBorder="1" applyAlignment="1">
      <alignment horizontal="center"/>
    </xf>
    <xf numFmtId="0" fontId="5" fillId="0" borderId="11" xfId="0" applyFont="1" applyBorder="1"/>
    <xf numFmtId="0" fontId="12" fillId="4" borderId="24" xfId="0" applyFont="1" applyFill="1" applyBorder="1" applyAlignment="1">
      <alignment horizontal="center"/>
    </xf>
    <xf numFmtId="164" fontId="28" fillId="12" borderId="34" xfId="1" applyNumberFormat="1" applyFont="1" applyFill="1" applyBorder="1" applyAlignment="1">
      <alignment horizontal="center"/>
    </xf>
    <xf numFmtId="164" fontId="28" fillId="12" borderId="26" xfId="1" applyNumberFormat="1" applyFont="1" applyFill="1" applyBorder="1" applyAlignment="1">
      <alignment horizontal="center"/>
    </xf>
    <xf numFmtId="0" fontId="28" fillId="8" borderId="34" xfId="1" applyFont="1" applyFill="1" applyBorder="1" applyAlignment="1">
      <alignment horizontal="center"/>
    </xf>
    <xf numFmtId="0" fontId="28" fillId="9" borderId="26" xfId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4" fontId="9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2" fontId="6" fillId="0" borderId="1" xfId="0" applyNumberFormat="1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left" vertical="top"/>
    </xf>
    <xf numFmtId="0" fontId="11" fillId="0" borderId="35" xfId="0" applyFont="1" applyBorder="1" applyAlignment="1">
      <alignment horizontal="center" vertical="center" textRotation="255" wrapText="1"/>
    </xf>
    <xf numFmtId="0" fontId="11" fillId="0" borderId="36" xfId="0" applyFont="1" applyBorder="1" applyAlignment="1">
      <alignment horizontal="center" vertical="center" textRotation="255" wrapText="1"/>
    </xf>
    <xf numFmtId="0" fontId="11" fillId="0" borderId="37" xfId="0" applyFont="1" applyBorder="1" applyAlignment="1">
      <alignment horizontal="center" vertical="center" textRotation="255" wrapText="1"/>
    </xf>
    <xf numFmtId="0" fontId="11" fillId="0" borderId="35" xfId="0" applyFont="1" applyBorder="1" applyAlignment="1">
      <alignment horizontal="center" vertical="center" textRotation="255"/>
    </xf>
    <xf numFmtId="0" fontId="11" fillId="0" borderId="36" xfId="0" applyFont="1" applyBorder="1" applyAlignment="1">
      <alignment horizontal="center" vertical="center" textRotation="255"/>
    </xf>
    <xf numFmtId="0" fontId="11" fillId="0" borderId="37" xfId="0" applyFont="1" applyBorder="1" applyAlignment="1">
      <alignment horizontal="center" vertical="center" textRotation="255"/>
    </xf>
    <xf numFmtId="0" fontId="29" fillId="3" borderId="24" xfId="1" applyFont="1" applyFill="1" applyBorder="1" applyAlignment="1">
      <alignment horizontal="center"/>
    </xf>
    <xf numFmtId="0" fontId="29" fillId="0" borderId="15" xfId="1" applyFont="1" applyBorder="1"/>
    <xf numFmtId="0" fontId="12" fillId="5" borderId="24" xfId="0" applyFont="1" applyFill="1" applyBorder="1" applyAlignment="1">
      <alignment horizontal="center"/>
    </xf>
    <xf numFmtId="0" fontId="5" fillId="0" borderId="15" xfId="0" applyFont="1" applyBorder="1"/>
    <xf numFmtId="0" fontId="30" fillId="3" borderId="24" xfId="1" applyFont="1" applyFill="1" applyBorder="1" applyAlignment="1">
      <alignment horizontal="center"/>
    </xf>
    <xf numFmtId="0" fontId="30" fillId="0" borderId="15" xfId="1" applyFont="1" applyBorder="1"/>
    <xf numFmtId="0" fontId="26" fillId="0" borderId="40" xfId="1" applyBorder="1" applyAlignment="1">
      <alignment horizontal="center" vertical="center"/>
    </xf>
    <xf numFmtId="0" fontId="5" fillId="0" borderId="41" xfId="0" applyFont="1" applyBorder="1"/>
    <xf numFmtId="0" fontId="5" fillId="0" borderId="42" xfId="0" applyFont="1" applyBorder="1"/>
    <xf numFmtId="0" fontId="26" fillId="0" borderId="43" xfId="1" applyBorder="1" applyAlignment="1">
      <alignment horizontal="center" vertical="center"/>
    </xf>
    <xf numFmtId="0" fontId="5" fillId="0" borderId="43" xfId="0" applyFont="1" applyBorder="1"/>
    <xf numFmtId="0" fontId="5" fillId="0" borderId="44" xfId="0" applyFont="1" applyBorder="1"/>
    <xf numFmtId="0" fontId="24" fillId="0" borderId="45" xfId="0" applyFont="1" applyBorder="1" applyAlignment="1">
      <alignment horizontal="center" vertical="center"/>
    </xf>
    <xf numFmtId="0" fontId="5" fillId="0" borderId="46" xfId="0" applyFont="1" applyBorder="1"/>
    <xf numFmtId="0" fontId="5" fillId="0" borderId="47" xfId="0" applyFont="1" applyBorder="1"/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25" fillId="0" borderId="51" xfId="0" applyFont="1" applyBorder="1" applyAlignment="1">
      <alignment horizontal="center"/>
    </xf>
    <xf numFmtId="0" fontId="25" fillId="0" borderId="52" xfId="0" applyFont="1" applyBorder="1" applyAlignment="1">
      <alignment horizontal="center"/>
    </xf>
    <xf numFmtId="0" fontId="25" fillId="0" borderId="53" xfId="0" applyFont="1" applyBorder="1" applyAlignment="1">
      <alignment horizontal="center"/>
    </xf>
    <xf numFmtId="0" fontId="28" fillId="5" borderId="55" xfId="3" applyFont="1" applyFill="1" applyBorder="1" applyAlignment="1">
      <alignment horizontal="center"/>
    </xf>
    <xf numFmtId="0" fontId="28" fillId="5" borderId="56" xfId="3" applyFont="1" applyFill="1" applyBorder="1" applyAlignment="1">
      <alignment horizontal="center"/>
    </xf>
  </cellXfs>
  <cellStyles count="4">
    <cellStyle name="Гиперссылка" xfId="1" builtinId="8"/>
    <cellStyle name="Гиперссылка 2" xfId="3" xr:uid="{2DBEC1B9-35E0-410D-903E-00A7CB7CE2FD}"/>
    <cellStyle name="Обычный" xfId="0" builtinId="0"/>
    <cellStyle name="Обычный 2" xfId="2" xr:uid="{1793A897-A4CA-4C2E-8EA1-4899120EB1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vk.com/sergey_fitnes63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t.me/Sergey_FIT_bo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466725</xdr:colOff>
      <xdr:row>19</xdr:row>
      <xdr:rowOff>190500</xdr:rowOff>
    </xdr:from>
    <xdr:ext cx="3305175" cy="16859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67408</xdr:colOff>
      <xdr:row>17</xdr:row>
      <xdr:rowOff>78966</xdr:rowOff>
    </xdr:from>
    <xdr:ext cx="4010025" cy="17335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079523" y="3547043"/>
          <a:ext cx="4010025" cy="1733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latin typeface="Comic Sans MS"/>
              <a:ea typeface="Comic Sans MS"/>
              <a:cs typeface="Comic Sans MS"/>
              <a:sym typeface="Comic Sans MS"/>
            </a:rPr>
            <a:t>Все дробные значения пишем через запятую!!!</a:t>
          </a:r>
          <a:endParaRPr sz="1400"/>
        </a:p>
      </xdr:txBody>
    </xdr:sp>
    <xdr:clientData fLocksWithSheet="0"/>
  </xdr:oneCellAnchor>
  <xdr:twoCellAnchor editAs="oneCell">
    <xdr:from>
      <xdr:col>17</xdr:col>
      <xdr:colOff>0</xdr:colOff>
      <xdr:row>21</xdr:row>
      <xdr:rowOff>0</xdr:rowOff>
    </xdr:from>
    <xdr:to>
      <xdr:col>18</xdr:col>
      <xdr:colOff>230068</xdr:colOff>
      <xdr:row>26</xdr:row>
      <xdr:rowOff>195535</xdr:rowOff>
    </xdr:to>
    <xdr:pic>
      <xdr:nvPicPr>
        <xdr:cNvPr id="6" name="Рисунок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697558-5FE1-41AE-8E67-4E2D730C1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37545" y="4214091"/>
          <a:ext cx="1326887" cy="1234626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21</xdr:row>
      <xdr:rowOff>34637</xdr:rowOff>
    </xdr:from>
    <xdr:to>
      <xdr:col>19</xdr:col>
      <xdr:colOff>523778</xdr:colOff>
      <xdr:row>26</xdr:row>
      <xdr:rowOff>146246</xdr:rowOff>
    </xdr:to>
    <xdr:pic>
      <xdr:nvPicPr>
        <xdr:cNvPr id="7" name="Рисунок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8418AF-F40A-40CF-8FBB-B48A58884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15364" y="4248728"/>
          <a:ext cx="1239596" cy="115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JDZNwRt2xZ0&amp;list=PLKXD90_Nl2vGW9-l8tkQz0jT9V7r5WgA4&amp;index=11" TargetMode="External"/><Relationship Id="rId18" Type="http://schemas.openxmlformats.org/officeDocument/2006/relationships/hyperlink" Target="https://www.youtube.com/watch?v=UY3ttUxhl48&amp;list=PLKXD90_Nl2vG6YCVAXlZKGJQ3niGXGAYN&amp;index=1" TargetMode="External"/><Relationship Id="rId26" Type="http://schemas.openxmlformats.org/officeDocument/2006/relationships/hyperlink" Target="https://www.youtube.com/shorts/p_k1klurmm4" TargetMode="External"/><Relationship Id="rId39" Type="http://schemas.openxmlformats.org/officeDocument/2006/relationships/hyperlink" Target="https://t.me/Sergey_FIT_bot" TargetMode="External"/><Relationship Id="rId21" Type="http://schemas.openxmlformats.org/officeDocument/2006/relationships/hyperlink" Target="https://www.youtube.com/watch?v=XGv5ojolHv8&amp;list=PLKXD90_Nl2vF7N1ARnvvozqi2LM0I1efL&amp;index=2" TargetMode="External"/><Relationship Id="rId34" Type="http://schemas.openxmlformats.org/officeDocument/2006/relationships/hyperlink" Target="https://www.youtube.com/watch?v=3m9SOO-143Y&amp;list=PLKXD90_Nl2vHH7avOFw_e5bMGZqFyUb8b" TargetMode="External"/><Relationship Id="rId7" Type="http://schemas.openxmlformats.org/officeDocument/2006/relationships/hyperlink" Target="https://www.youtube.com/watch?v=5RbdcRxp6TM&amp;list=PLKXD90_Nl2vF9n9iKtqq-TOVxLZnZhY99&amp;index=2" TargetMode="External"/><Relationship Id="rId2" Type="http://schemas.openxmlformats.org/officeDocument/2006/relationships/hyperlink" Target="https://www.youtube.com/watch?v=uLa1WAO-5_g&amp;list=PLKXD90_Nl2vEomK1UU0TBHNnHF2_YeQtU&amp;index=18" TargetMode="External"/><Relationship Id="rId16" Type="http://schemas.openxmlformats.org/officeDocument/2006/relationships/hyperlink" Target="https://www.youtube.com/watch?v=2UxrE8v4eeE&amp;list=PLKXD90_Nl2vGW9-l8tkQz0jT9V7r5WgA4&amp;index=5" TargetMode="External"/><Relationship Id="rId20" Type="http://schemas.openxmlformats.org/officeDocument/2006/relationships/hyperlink" Target="https://www.youtube.com/watch?v=XGv5ojolHv8&amp;list=PLKXD90_Nl2vF7N1ARnvvozqi2LM0I1efL&amp;index=2" TargetMode="External"/><Relationship Id="rId29" Type="http://schemas.openxmlformats.org/officeDocument/2006/relationships/hyperlink" Target="https://www.youtube.com/watch?v=irAVPBl7jL0&amp;list=PLKXD90_Nl2vEpRqQETUdVxWXq2MN36iNg&amp;index=3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youtu.be/xHGW1HOBrXY?feature=shared" TargetMode="External"/><Relationship Id="rId6" Type="http://schemas.openxmlformats.org/officeDocument/2006/relationships/hyperlink" Target="https://www.youtube.com/watch?v=mS7qBQpNfV4&amp;list=PLKXD90_Nl2vF9n9iKtqq-TOVxLZnZhY99&amp;index=1" TargetMode="External"/><Relationship Id="rId11" Type="http://schemas.openxmlformats.org/officeDocument/2006/relationships/hyperlink" Target="https://www.youtube.com/watch?v=fP3vZcbvswY&amp;list=PLKXD90_Nl2vGW9-l8tkQz0jT9V7r5WgA4" TargetMode="External"/><Relationship Id="rId24" Type="http://schemas.openxmlformats.org/officeDocument/2006/relationships/hyperlink" Target="https://www.youtube.com/watch?v=Y4ZJFxktyzI&amp;list=PLKXD90_Nl2vGBXziYn6L18XLOddECouVL&amp;index=9" TargetMode="External"/><Relationship Id="rId32" Type="http://schemas.openxmlformats.org/officeDocument/2006/relationships/hyperlink" Target="https://www.youtube.com/shorts/YhZPms_oPG0" TargetMode="External"/><Relationship Id="rId37" Type="http://schemas.openxmlformats.org/officeDocument/2006/relationships/hyperlink" Target="https://youtube.com/shorts/vAhV1CS37rc?si=HD6RAMnItLlhJTDb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2UxrE8v4eeE&amp;list=PLKXD90_Nl2vGW9-l8tkQz0jT9V7r5WgA4&amp;index=5" TargetMode="External"/><Relationship Id="rId15" Type="http://schemas.openxmlformats.org/officeDocument/2006/relationships/hyperlink" Target="https://www.youtube.com/watch?v=-Zvwm6bncv0&amp;list=PLKXD90_Nl2vGW9-l8tkQz0jT9V7r5WgA4&amp;index=8" TargetMode="External"/><Relationship Id="rId23" Type="http://schemas.openxmlformats.org/officeDocument/2006/relationships/hyperlink" Target="https://www.youtube.com/watch?v=2EiSZd5T8ZE&amp;list=PLKXD90_Nl2vGBXziYn6L18XLOddECouVL&amp;index=3" TargetMode="External"/><Relationship Id="rId28" Type="http://schemas.openxmlformats.org/officeDocument/2006/relationships/hyperlink" Target="https://www.youtube.com/watch?v=q4EsN9V3YWE&amp;list=PLKXD90_Nl2vEomK1UU0TBHNnHF2_YeQtU&amp;index=4" TargetMode="External"/><Relationship Id="rId36" Type="http://schemas.openxmlformats.org/officeDocument/2006/relationships/hyperlink" Target="https://youtube.com/shorts/ZGye_L_WUxo?si=hrOAZ7REhCzRcBC8" TargetMode="External"/><Relationship Id="rId10" Type="http://schemas.openxmlformats.org/officeDocument/2006/relationships/hyperlink" Target="https://www.youtube.com/watch?v=X4Oeh_KkEx0&amp;list=PLKXD90_Nl2vF9n9iKtqq-TOVxLZnZhY99&amp;index=12" TargetMode="External"/><Relationship Id="rId19" Type="http://schemas.openxmlformats.org/officeDocument/2006/relationships/hyperlink" Target="https://www.youtube.com/watch?v=u6-17wwOWbQ&amp;list=PLKXD90_Nl2vF7N1ARnvvozqi2LM0I1efL" TargetMode="External"/><Relationship Id="rId31" Type="http://schemas.openxmlformats.org/officeDocument/2006/relationships/hyperlink" Target="https://www.youtube.com/watch?v=AsC9sgWjcoM&amp;list=PLKXD90_Nl2vGqbiBCZpZT_lc1M7SOe-vR&amp;index=2" TargetMode="External"/><Relationship Id="rId4" Type="http://schemas.openxmlformats.org/officeDocument/2006/relationships/hyperlink" Target="https://www.youtube.com/watch?v=OK3d6BSS28c&amp;list=PLKXD90_Nl2vGBXziYn6L18XLOddECouVL&amp;index=4" TargetMode="External"/><Relationship Id="rId9" Type="http://schemas.openxmlformats.org/officeDocument/2006/relationships/hyperlink" Target="https://www.youtube.com/watch?v=h7sShkYLPBg&amp;list=PLKXD90_Nl2vF7N1ARnvvozqi2LM0I1efL&amp;index=5" TargetMode="External"/><Relationship Id="rId14" Type="http://schemas.openxmlformats.org/officeDocument/2006/relationships/hyperlink" Target="https://www.youtube.com/watch?v=fP3vZcbvswY&amp;list=PLKXD90_Nl2vGW9-l8tkQz0jT9V7r5WgA4&amp;index=1" TargetMode="External"/><Relationship Id="rId22" Type="http://schemas.openxmlformats.org/officeDocument/2006/relationships/hyperlink" Target="https://www.youtube.com/watch?v=VPg7b1t5Ylc&amp;list=PLKXD90_Nl2vGBXziYn6L18XLOddECouVL&amp;index=6" TargetMode="External"/><Relationship Id="rId27" Type="http://schemas.openxmlformats.org/officeDocument/2006/relationships/hyperlink" Target="https://www.youtube.com/watch?v=vAhV1CS37rc&amp;list=PLKXD90_Nl2vGW9-l8tkQz0jT9V7r5WgA4&amp;index=6" TargetMode="External"/><Relationship Id="rId30" Type="http://schemas.openxmlformats.org/officeDocument/2006/relationships/hyperlink" Target="https://www.youtube.com/shorts/XXMN7FYuI3M" TargetMode="External"/><Relationship Id="rId35" Type="http://schemas.openxmlformats.org/officeDocument/2006/relationships/hyperlink" Target="https://youtube.com/shorts/I_bJhyNrAOM?si=QpG5jCf7MK3hByIp" TargetMode="External"/><Relationship Id="rId8" Type="http://schemas.openxmlformats.org/officeDocument/2006/relationships/hyperlink" Target="https://www.youtube.com/watch?v=YKXys_Ij9f4&amp;list=PLKXD90_Nl2vF9n9iKtqq-TOVxLZnZhY99&amp;index=13" TargetMode="External"/><Relationship Id="rId3" Type="http://schemas.openxmlformats.org/officeDocument/2006/relationships/hyperlink" Target="https://www.youtube.com/watch?v=u6-17wwOWbQ&amp;list=PLKXD90_Nl2vF7N1ARnvvozqi2LM0I1efL" TargetMode="External"/><Relationship Id="rId12" Type="http://schemas.openxmlformats.org/officeDocument/2006/relationships/hyperlink" Target="https://www.youtube.com/watch?v=EzxoVcJCT2c&amp;list=PLKXD90_Nl2vGW9-l8tkQz0jT9V7r5WgA4&amp;index=9" TargetMode="External"/><Relationship Id="rId17" Type="http://schemas.openxmlformats.org/officeDocument/2006/relationships/hyperlink" Target="https://www.youtube.com/watch?v=I9Bh6I9Clxo&amp;list=PLKXD90_Nl2vG6YCVAXlZKGJQ3niGXGAYN&amp;index=2" TargetMode="External"/><Relationship Id="rId25" Type="http://schemas.openxmlformats.org/officeDocument/2006/relationships/hyperlink" Target="https://www.youtube.com/shorts/QHvSgHLvvcM" TargetMode="External"/><Relationship Id="rId33" Type="http://schemas.openxmlformats.org/officeDocument/2006/relationships/hyperlink" Target="https://www.youtube.com/watch?v=AsC9sgWjcoM&amp;list=PLKXD90_Nl2vGqbiBCZpZT_lc1M7SOe-vR&amp;index=2" TargetMode="External"/><Relationship Id="rId38" Type="http://schemas.openxmlformats.org/officeDocument/2006/relationships/hyperlink" Target="https://vk.com/sergey_fitnes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P1038"/>
  <sheetViews>
    <sheetView tabSelected="1" zoomScale="55" zoomScaleNormal="55" workbookViewId="0">
      <selection activeCell="I38" sqref="I38"/>
    </sheetView>
  </sheetViews>
  <sheetFormatPr defaultColWidth="14.453125" defaultRowHeight="15" customHeight="1"/>
  <cols>
    <col min="1" max="1" width="8.7265625" customWidth="1"/>
    <col min="2" max="2" width="20.7265625" customWidth="1"/>
    <col min="3" max="5" width="15.7265625" customWidth="1"/>
    <col min="6" max="6" width="20.7265625" customWidth="1"/>
    <col min="7" max="9" width="15.7265625" customWidth="1"/>
    <col min="10" max="10" width="20.7265625" customWidth="1"/>
    <col min="11" max="13" width="15.7265625" customWidth="1"/>
    <col min="14" max="16" width="7.7265625" customWidth="1"/>
    <col min="17" max="19" width="15.7265625" customWidth="1"/>
    <col min="20" max="20" width="8.7265625" customWidth="1"/>
    <col min="21" max="23" width="15.7265625" customWidth="1"/>
    <col min="24" max="24" width="8.7265625" customWidth="1"/>
    <col min="25" max="27" width="15.7265625" customWidth="1"/>
    <col min="28" max="30" width="7.7265625" customWidth="1"/>
    <col min="31" max="33" width="15.7265625" customWidth="1"/>
    <col min="34" max="34" width="8.7265625" customWidth="1"/>
    <col min="35" max="37" width="15.7265625" customWidth="1"/>
    <col min="38" max="38" width="8.7265625" customWidth="1"/>
    <col min="39" max="41" width="15.7265625" customWidth="1"/>
    <col min="42" max="44" width="7.7265625" customWidth="1"/>
    <col min="45" max="47" width="15.7265625" customWidth="1"/>
    <col min="48" max="48" width="8.7265625" customWidth="1"/>
    <col min="49" max="51" width="15.7265625" customWidth="1"/>
    <col min="52" max="52" width="8.7265625" customWidth="1"/>
    <col min="53" max="55" width="15.7265625" customWidth="1"/>
    <col min="56" max="58" width="7.7265625" customWidth="1"/>
    <col min="59" max="61" width="15.7265625" customWidth="1"/>
    <col min="62" max="62" width="8.7265625" customWidth="1"/>
    <col min="63" max="65" width="15.7265625" customWidth="1"/>
    <col min="66" max="66" width="8.7265625" customWidth="1"/>
    <col min="67" max="69" width="15.7265625" customWidth="1"/>
    <col min="70" max="72" width="7.7265625" customWidth="1"/>
    <col min="73" max="75" width="15.7265625" customWidth="1"/>
    <col min="76" max="76" width="8.7265625" customWidth="1"/>
    <col min="77" max="79" width="15.7265625" customWidth="1"/>
    <col min="80" max="80" width="8.7265625" customWidth="1"/>
    <col min="81" max="83" width="15.7265625" customWidth="1"/>
    <col min="84" max="86" width="7.7265625" customWidth="1"/>
    <col min="87" max="89" width="15.7265625" customWidth="1"/>
    <col min="90" max="90" width="8.7265625" customWidth="1"/>
    <col min="91" max="93" width="15.7265625" customWidth="1"/>
    <col min="94" max="94" width="8.7265625" customWidth="1"/>
    <col min="95" max="97" width="15.7265625" customWidth="1"/>
    <col min="98" max="100" width="7.7265625" customWidth="1"/>
    <col min="101" max="103" width="15.7265625" customWidth="1"/>
    <col min="104" max="104" width="8.7265625" customWidth="1"/>
    <col min="105" max="107" width="15.7265625" customWidth="1"/>
    <col min="108" max="108" width="8.7265625" customWidth="1"/>
    <col min="109" max="111" width="15.7265625" customWidth="1"/>
    <col min="112" max="114" width="7.7265625" customWidth="1"/>
    <col min="115" max="117" width="15.7265625" customWidth="1"/>
    <col min="118" max="118" width="8.7265625" customWidth="1"/>
    <col min="119" max="121" width="15.7265625" customWidth="1"/>
    <col min="122" max="122" width="8.7265625" customWidth="1"/>
    <col min="123" max="125" width="15.7265625" customWidth="1"/>
    <col min="126" max="128" width="7.7265625" customWidth="1"/>
    <col min="129" max="131" width="15.7265625" customWidth="1"/>
    <col min="132" max="132" width="8.7265625" customWidth="1"/>
    <col min="133" max="135" width="15.7265625" customWidth="1"/>
    <col min="136" max="136" width="8.7265625" customWidth="1"/>
    <col min="137" max="139" width="15.7265625" customWidth="1"/>
    <col min="140" max="142" width="7.7265625" customWidth="1"/>
    <col min="143" max="145" width="15.7265625" customWidth="1"/>
    <col min="146" max="146" width="8.7265625" customWidth="1"/>
    <col min="147" max="149" width="15.7265625" customWidth="1"/>
    <col min="150" max="150" width="8.7265625" customWidth="1"/>
    <col min="151" max="153" width="15.7265625" customWidth="1"/>
    <col min="154" max="156" width="7.7265625" customWidth="1"/>
    <col min="157" max="159" width="15.7265625" customWidth="1"/>
    <col min="160" max="160" width="8.7265625" customWidth="1"/>
    <col min="161" max="163" width="15.7265625" customWidth="1"/>
    <col min="164" max="164" width="8.7265625" customWidth="1"/>
    <col min="165" max="167" width="15.7265625" customWidth="1"/>
    <col min="168" max="169" width="8.7265625" customWidth="1"/>
  </cols>
  <sheetData>
    <row r="1" spans="1:3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3" spans="1:33" ht="15" customHeight="1">
      <c r="A3" s="2"/>
      <c r="B3" s="100" t="s">
        <v>0</v>
      </c>
      <c r="C3" s="101"/>
      <c r="D3" s="101"/>
      <c r="E3" s="101"/>
      <c r="F3" s="102"/>
      <c r="G3" s="109" t="s">
        <v>1</v>
      </c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2"/>
      <c r="V3" s="3"/>
      <c r="W3" s="3"/>
      <c r="X3" s="3"/>
      <c r="Y3" s="3"/>
      <c r="Z3" s="3"/>
      <c r="AA3" s="3"/>
    </row>
    <row r="4" spans="1:33" ht="15" customHeight="1">
      <c r="A4" s="2"/>
      <c r="B4" s="103"/>
      <c r="C4" s="104"/>
      <c r="D4" s="104"/>
      <c r="E4" s="104"/>
      <c r="F4" s="105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5"/>
      <c r="V4" s="3"/>
      <c r="W4" s="3"/>
      <c r="X4" s="3"/>
      <c r="Y4" s="3"/>
      <c r="Z4" s="3"/>
      <c r="AA4" s="3"/>
    </row>
    <row r="5" spans="1:33" ht="15" customHeight="1">
      <c r="A5" s="2"/>
      <c r="B5" s="100" t="s">
        <v>2</v>
      </c>
      <c r="C5" s="101"/>
      <c r="D5" s="101"/>
      <c r="E5" s="101"/>
      <c r="F5" s="102"/>
      <c r="G5" s="110" t="s">
        <v>65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2"/>
      <c r="V5" s="4"/>
      <c r="W5" s="4"/>
      <c r="X5" s="4"/>
      <c r="Y5" s="4"/>
      <c r="Z5" s="4"/>
      <c r="AA5" s="4"/>
    </row>
    <row r="6" spans="1:33" ht="15" customHeight="1">
      <c r="B6" s="103"/>
      <c r="C6" s="104"/>
      <c r="D6" s="104"/>
      <c r="E6" s="104"/>
      <c r="F6" s="105"/>
      <c r="G6" s="103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5"/>
      <c r="V6" s="4"/>
      <c r="W6" s="4"/>
      <c r="X6" s="4"/>
      <c r="Y6" s="4"/>
      <c r="Z6" s="4"/>
      <c r="AA6" s="4"/>
    </row>
    <row r="7" spans="1:33" ht="15" customHeight="1">
      <c r="A7" s="2"/>
      <c r="B7" s="100" t="s">
        <v>3</v>
      </c>
      <c r="C7" s="101"/>
      <c r="D7" s="101"/>
      <c r="E7" s="101"/>
      <c r="F7" s="102"/>
      <c r="G7" s="109" t="s">
        <v>60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2"/>
      <c r="V7" s="3"/>
      <c r="W7" s="3"/>
      <c r="X7" s="3"/>
      <c r="Y7" s="3"/>
      <c r="Z7" s="3"/>
      <c r="AA7" s="3"/>
    </row>
    <row r="8" spans="1:33" ht="15" customHeight="1">
      <c r="A8" s="2"/>
      <c r="B8" s="103"/>
      <c r="C8" s="104"/>
      <c r="D8" s="104"/>
      <c r="E8" s="104"/>
      <c r="F8" s="105"/>
      <c r="G8" s="103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5"/>
      <c r="V8" s="3"/>
      <c r="W8" s="3"/>
      <c r="X8" s="3"/>
      <c r="Y8" s="3"/>
      <c r="Z8" s="3"/>
      <c r="AA8" s="3"/>
    </row>
    <row r="9" spans="1:33" ht="15" customHeight="1">
      <c r="A9" s="5"/>
      <c r="B9" s="100" t="s">
        <v>4</v>
      </c>
      <c r="C9" s="101"/>
      <c r="D9" s="101"/>
      <c r="E9" s="101"/>
      <c r="F9" s="102"/>
      <c r="G9" s="109" t="s">
        <v>5</v>
      </c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2"/>
      <c r="V9" s="3"/>
      <c r="W9" s="3"/>
      <c r="X9" s="3"/>
      <c r="Y9" s="3"/>
      <c r="Z9" s="3"/>
      <c r="AA9" s="3"/>
    </row>
    <row r="10" spans="1:33" ht="15" customHeight="1">
      <c r="A10" s="5"/>
      <c r="B10" s="103"/>
      <c r="C10" s="104"/>
      <c r="D10" s="104"/>
      <c r="E10" s="104"/>
      <c r="F10" s="105"/>
      <c r="G10" s="103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5"/>
      <c r="V10" s="3"/>
      <c r="W10" s="3"/>
      <c r="X10" s="3"/>
      <c r="Y10" s="3"/>
      <c r="Z10" s="3"/>
      <c r="AA10" s="3"/>
    </row>
    <row r="11" spans="1:33" ht="14.5">
      <c r="A11" s="5"/>
      <c r="B11" s="6"/>
      <c r="C11" s="2"/>
      <c r="D11" s="2"/>
      <c r="F11" s="2"/>
      <c r="G11" s="7"/>
      <c r="H11" s="2"/>
      <c r="I11" s="2"/>
      <c r="J11" s="2"/>
      <c r="K11" s="2"/>
      <c r="L11" s="2"/>
      <c r="M11" s="2"/>
      <c r="N11" s="2"/>
      <c r="O11" s="2"/>
    </row>
    <row r="12" spans="1:33" ht="14.5">
      <c r="A12" s="5"/>
      <c r="B12" s="6"/>
      <c r="C12" s="2"/>
      <c r="D12" s="2"/>
      <c r="F12" s="2"/>
      <c r="G12" s="7"/>
      <c r="H12" s="2"/>
      <c r="I12" s="2"/>
      <c r="J12" s="2"/>
      <c r="K12" s="2"/>
      <c r="L12" s="2"/>
      <c r="M12" s="2"/>
      <c r="N12" s="2"/>
      <c r="O12" s="2"/>
    </row>
    <row r="13" spans="1:33" ht="16.5">
      <c r="A13" s="5"/>
      <c r="B13" s="106" t="s">
        <v>6</v>
      </c>
      <c r="C13" s="107"/>
      <c r="D13" s="107"/>
      <c r="E13" s="107"/>
      <c r="F13" s="108"/>
      <c r="G13" s="7"/>
      <c r="H13" s="2"/>
      <c r="I13" s="2"/>
      <c r="J13" s="2"/>
      <c r="K13" s="2"/>
      <c r="L13" s="2"/>
      <c r="M13" s="2"/>
      <c r="N13" s="2"/>
      <c r="O13" s="2"/>
    </row>
    <row r="14" spans="1:33" ht="17.5" thickTop="1" thickBot="1">
      <c r="A14" s="5"/>
      <c r="B14" s="8"/>
      <c r="C14" s="9"/>
      <c r="D14" s="10" t="s">
        <v>4</v>
      </c>
      <c r="E14" s="10" t="s">
        <v>7</v>
      </c>
      <c r="F14" s="10" t="s">
        <v>8</v>
      </c>
      <c r="G14" s="7"/>
      <c r="H14" s="2"/>
      <c r="I14" s="11"/>
      <c r="J14" s="11"/>
      <c r="K14" s="11"/>
      <c r="L14" s="11"/>
      <c r="M14" s="11"/>
      <c r="N14" s="11"/>
      <c r="O14" s="11"/>
    </row>
    <row r="15" spans="1:33" ht="16" customHeight="1" thickTop="1" thickBot="1">
      <c r="A15" s="111" t="s">
        <v>9</v>
      </c>
      <c r="B15" s="96" t="s">
        <v>11</v>
      </c>
      <c r="C15" s="97"/>
      <c r="D15" s="14"/>
      <c r="E15" s="15"/>
      <c r="F15" s="12">
        <f>(100*D15)/(101.3-2.67123*E15)</f>
        <v>0</v>
      </c>
      <c r="G15" s="7"/>
      <c r="H15" s="2"/>
      <c r="I15" s="11"/>
      <c r="J15" s="11"/>
      <c r="K15" s="11"/>
      <c r="L15" s="11"/>
      <c r="M15" s="11"/>
      <c r="N15" s="11"/>
      <c r="O15" s="11"/>
      <c r="R15" s="93" t="s">
        <v>10</v>
      </c>
      <c r="S15" s="94"/>
      <c r="T15" s="13"/>
    </row>
    <row r="16" spans="1:33" ht="16" customHeight="1" thickTop="1" thickBot="1">
      <c r="A16" s="112"/>
      <c r="B16" s="96" t="s">
        <v>42</v>
      </c>
      <c r="C16" s="97"/>
      <c r="D16" s="14"/>
      <c r="E16" s="15"/>
      <c r="F16" s="12">
        <f>(100*D16)/(101.3-2.67123*E16)</f>
        <v>0</v>
      </c>
      <c r="G16" s="7"/>
      <c r="H16" s="2"/>
      <c r="I16" s="11"/>
      <c r="J16" s="11"/>
      <c r="K16" s="11"/>
      <c r="L16" s="11"/>
      <c r="M16" s="11"/>
      <c r="N16" s="11"/>
      <c r="O16" s="11"/>
      <c r="P16" s="5"/>
    </row>
    <row r="17" spans="1:20" ht="16" customHeight="1" thickTop="1" thickBot="1">
      <c r="A17" s="112"/>
      <c r="B17" s="96" t="s">
        <v>44</v>
      </c>
      <c r="C17" s="97"/>
      <c r="D17" s="14"/>
      <c r="E17" s="15"/>
      <c r="F17" s="44">
        <f>(100*($D$17+$T$15))/(101.3-2.67123*E17)-$T$15</f>
        <v>0</v>
      </c>
      <c r="G17" s="7"/>
      <c r="H17" s="2"/>
      <c r="J17" s="16"/>
      <c r="K17" s="16"/>
      <c r="L17" s="16"/>
      <c r="M17" s="16"/>
      <c r="N17" s="16"/>
      <c r="O17" s="16"/>
      <c r="P17" s="5"/>
      <c r="R17" s="93" t="s">
        <v>12</v>
      </c>
      <c r="S17" s="94"/>
      <c r="T17" s="13"/>
    </row>
    <row r="18" spans="1:20" ht="16" customHeight="1" thickTop="1">
      <c r="A18" s="112"/>
      <c r="B18" s="96" t="s">
        <v>46</v>
      </c>
      <c r="C18" s="97"/>
      <c r="D18" s="14"/>
      <c r="E18" s="15"/>
      <c r="F18" s="12">
        <f t="shared" ref="F18:F27" si="0">(100*D18)/(101.3-2.67123*E18)</f>
        <v>0</v>
      </c>
      <c r="G18" s="7"/>
      <c r="H18" s="2"/>
      <c r="J18" s="16"/>
      <c r="K18" s="16"/>
      <c r="L18" s="16"/>
      <c r="M18" s="16"/>
      <c r="N18" s="16"/>
      <c r="O18" s="16"/>
      <c r="P18" s="5"/>
      <c r="R18" s="93" t="s">
        <v>13</v>
      </c>
      <c r="S18" s="94"/>
    </row>
    <row r="19" spans="1:20" ht="16" customHeight="1">
      <c r="A19" s="112"/>
      <c r="B19" s="95" t="s">
        <v>47</v>
      </c>
      <c r="C19" s="94"/>
      <c r="D19" s="14"/>
      <c r="E19" s="15"/>
      <c r="F19" s="12">
        <f t="shared" si="0"/>
        <v>0</v>
      </c>
      <c r="G19" s="7"/>
      <c r="H19" s="2"/>
      <c r="J19" s="16"/>
      <c r="K19" s="16"/>
      <c r="L19" s="16"/>
      <c r="M19" s="16"/>
      <c r="N19" s="16"/>
      <c r="O19" s="16"/>
      <c r="P19" s="5"/>
    </row>
    <row r="20" spans="1:20" ht="16" customHeight="1">
      <c r="A20" s="112"/>
      <c r="B20" s="95" t="s">
        <v>16</v>
      </c>
      <c r="C20" s="94"/>
      <c r="D20" s="14"/>
      <c r="E20" s="15"/>
      <c r="F20" s="12">
        <f t="shared" si="0"/>
        <v>0</v>
      </c>
      <c r="G20" s="7"/>
      <c r="H20" s="2"/>
      <c r="J20" s="16"/>
      <c r="K20" s="16"/>
      <c r="L20" s="16"/>
      <c r="M20" s="16"/>
      <c r="N20" s="16"/>
      <c r="O20" s="16"/>
      <c r="P20" s="5"/>
    </row>
    <row r="21" spans="1:20" ht="16" customHeight="1">
      <c r="A21" s="112"/>
      <c r="B21" s="98" t="s">
        <v>17</v>
      </c>
      <c r="C21" s="99"/>
      <c r="D21" s="14"/>
      <c r="E21" s="15"/>
      <c r="F21" s="12">
        <f t="shared" si="0"/>
        <v>0</v>
      </c>
      <c r="G21" s="7"/>
      <c r="H21" s="2"/>
      <c r="J21" s="16"/>
      <c r="K21" s="16"/>
      <c r="L21" s="16"/>
      <c r="M21" s="16"/>
      <c r="N21" s="16"/>
      <c r="O21" s="16"/>
      <c r="P21" s="5"/>
    </row>
    <row r="22" spans="1:20" ht="16" customHeight="1">
      <c r="A22" s="112"/>
      <c r="B22" s="95" t="s">
        <v>31</v>
      </c>
      <c r="C22" s="94"/>
      <c r="D22" s="14"/>
      <c r="E22" s="15"/>
      <c r="F22" s="12">
        <f t="shared" si="0"/>
        <v>0</v>
      </c>
      <c r="G22" s="7"/>
      <c r="H22" s="2"/>
      <c r="J22" s="16"/>
      <c r="K22" s="16"/>
      <c r="L22" s="16"/>
      <c r="M22" s="16"/>
      <c r="N22" s="16"/>
      <c r="O22" s="16"/>
      <c r="P22" s="5"/>
    </row>
    <row r="23" spans="1:20" ht="16" customHeight="1">
      <c r="A23" s="112"/>
      <c r="B23" s="95" t="s">
        <v>14</v>
      </c>
      <c r="C23" s="94"/>
      <c r="D23" s="14"/>
      <c r="E23" s="15"/>
      <c r="F23" s="12">
        <f t="shared" si="0"/>
        <v>0</v>
      </c>
      <c r="G23" s="7"/>
      <c r="H23" s="16"/>
      <c r="I23" s="16"/>
      <c r="J23" s="16"/>
      <c r="K23" s="16"/>
      <c r="L23" s="16"/>
      <c r="M23" s="16"/>
      <c r="N23" s="16"/>
      <c r="O23" s="16"/>
      <c r="P23" s="5"/>
    </row>
    <row r="24" spans="1:20" ht="16" customHeight="1">
      <c r="A24" s="112"/>
      <c r="B24" s="98" t="s">
        <v>15</v>
      </c>
      <c r="C24" s="99"/>
      <c r="D24" s="14"/>
      <c r="E24" s="15"/>
      <c r="F24" s="12">
        <f t="shared" si="0"/>
        <v>0</v>
      </c>
      <c r="G24" s="7"/>
      <c r="H24" s="16"/>
      <c r="I24" s="16"/>
      <c r="J24" s="16"/>
      <c r="K24" s="16"/>
      <c r="L24" s="16"/>
      <c r="M24" s="16"/>
      <c r="N24" s="16"/>
      <c r="O24" s="16"/>
      <c r="P24" s="5"/>
    </row>
    <row r="25" spans="1:20" s="35" customFormat="1" ht="16" customHeight="1">
      <c r="A25" s="112"/>
      <c r="B25" s="95" t="s">
        <v>51</v>
      </c>
      <c r="C25" s="94"/>
      <c r="D25" s="14"/>
      <c r="E25" s="15"/>
      <c r="F25" s="12">
        <f t="shared" si="0"/>
        <v>0</v>
      </c>
      <c r="G25" s="7"/>
      <c r="H25" s="16"/>
      <c r="I25" s="16"/>
      <c r="J25" s="16"/>
      <c r="K25" s="16"/>
      <c r="L25" s="16"/>
      <c r="M25" s="16"/>
      <c r="N25" s="16"/>
      <c r="O25" s="16"/>
      <c r="P25" s="5"/>
    </row>
    <row r="26" spans="1:20" s="35" customFormat="1" ht="16" customHeight="1">
      <c r="A26" s="112"/>
      <c r="B26" s="119" t="s">
        <v>19</v>
      </c>
      <c r="C26" s="120"/>
      <c r="D26" s="14"/>
      <c r="E26" s="15"/>
      <c r="F26" s="12">
        <f t="shared" si="0"/>
        <v>0</v>
      </c>
      <c r="G26" s="7"/>
      <c r="H26" s="16"/>
      <c r="I26" s="42">
        <v>0.50370000000000004</v>
      </c>
      <c r="J26" s="16"/>
      <c r="K26" s="16"/>
      <c r="L26" s="16"/>
      <c r="M26" s="16"/>
      <c r="N26" s="16"/>
      <c r="O26" s="16"/>
      <c r="P26" s="5"/>
    </row>
    <row r="27" spans="1:20" s="35" customFormat="1" ht="16" customHeight="1" thickBot="1">
      <c r="A27" s="113"/>
      <c r="B27" s="119" t="s">
        <v>20</v>
      </c>
      <c r="C27" s="120"/>
      <c r="D27" s="14"/>
      <c r="E27" s="15"/>
      <c r="F27" s="12">
        <f t="shared" si="0"/>
        <v>0</v>
      </c>
      <c r="G27" s="7"/>
      <c r="H27" s="16"/>
      <c r="I27" s="42">
        <v>0.50370000000000004</v>
      </c>
      <c r="J27" s="16"/>
      <c r="K27" s="16"/>
      <c r="L27" s="16"/>
      <c r="M27" s="16"/>
      <c r="N27" s="16"/>
      <c r="O27" s="16"/>
      <c r="P27" s="5"/>
    </row>
    <row r="28" spans="1:20" ht="16" customHeight="1">
      <c r="A28" s="43"/>
      <c r="B28" s="7"/>
      <c r="C28" s="7"/>
      <c r="D28" s="7"/>
      <c r="E28" s="7"/>
      <c r="F28" s="7"/>
      <c r="G28" s="7"/>
      <c r="H28" s="42"/>
      <c r="I28" s="42">
        <v>0.54069999999999996</v>
      </c>
      <c r="J28" s="42"/>
      <c r="K28" s="16"/>
      <c r="L28" s="16"/>
      <c r="M28" s="16"/>
      <c r="N28" s="16"/>
      <c r="O28" s="16"/>
      <c r="P28" s="5"/>
    </row>
    <row r="29" spans="1:20" ht="16" customHeight="1" thickBot="1">
      <c r="A29" s="43"/>
      <c r="B29" s="7"/>
      <c r="C29" s="7"/>
      <c r="D29" s="7"/>
      <c r="E29" s="7"/>
      <c r="F29" s="7"/>
      <c r="G29" s="7"/>
      <c r="H29" s="42"/>
      <c r="I29" s="42">
        <v>0.57780000000000009</v>
      </c>
      <c r="J29" s="42"/>
      <c r="K29" s="16"/>
      <c r="L29" s="16"/>
      <c r="M29" s="16"/>
      <c r="N29" s="16"/>
      <c r="O29" s="16"/>
      <c r="P29" s="5"/>
    </row>
    <row r="30" spans="1:20" ht="16" customHeight="1" thickBot="1">
      <c r="A30" s="43"/>
      <c r="B30" s="7"/>
      <c r="C30" s="7"/>
      <c r="D30" s="17" t="s">
        <v>4</v>
      </c>
      <c r="E30" s="17" t="s">
        <v>7</v>
      </c>
      <c r="F30" s="17" t="s">
        <v>8</v>
      </c>
      <c r="G30" s="7"/>
      <c r="H30" s="42"/>
      <c r="I30" s="42">
        <v>0.61480000000000001</v>
      </c>
      <c r="J30" s="42"/>
      <c r="K30" s="16"/>
      <c r="L30" s="16"/>
      <c r="M30" s="16"/>
      <c r="N30" s="16"/>
      <c r="O30" s="16"/>
      <c r="P30" s="5"/>
    </row>
    <row r="31" spans="1:20" ht="16" customHeight="1">
      <c r="A31" s="111" t="s">
        <v>21</v>
      </c>
      <c r="B31" s="96" t="s">
        <v>22</v>
      </c>
      <c r="C31" s="97"/>
      <c r="D31" s="14"/>
      <c r="E31" s="15"/>
      <c r="F31" s="12">
        <f t="shared" ref="F31:F42" si="1">(100*D31)/(101.3-2.67123*E31)</f>
        <v>0</v>
      </c>
      <c r="G31" s="7"/>
      <c r="H31" s="42"/>
      <c r="I31" s="42">
        <v>0.65189999999999992</v>
      </c>
      <c r="J31" s="42"/>
      <c r="K31" s="16"/>
      <c r="L31" s="16"/>
      <c r="M31" s="16"/>
      <c r="N31" s="16"/>
      <c r="O31" s="16"/>
      <c r="P31" s="5"/>
    </row>
    <row r="32" spans="1:20" ht="16" customHeight="1" thickBot="1">
      <c r="A32" s="112"/>
      <c r="B32" s="96" t="s">
        <v>43</v>
      </c>
      <c r="C32" s="97"/>
      <c r="D32" s="14"/>
      <c r="E32" s="15"/>
      <c r="F32" s="18">
        <f t="shared" si="1"/>
        <v>0</v>
      </c>
      <c r="G32" s="7"/>
      <c r="H32" s="42"/>
      <c r="I32" s="42">
        <v>0.7629999999999999</v>
      </c>
      <c r="J32" s="42"/>
      <c r="K32" s="16"/>
      <c r="L32" s="16"/>
      <c r="M32" s="16"/>
      <c r="N32" s="16"/>
      <c r="O32" s="16"/>
      <c r="P32" s="5"/>
    </row>
    <row r="33" spans="1:21" ht="16" customHeight="1" thickBot="1">
      <c r="A33" s="112"/>
      <c r="B33" s="95" t="s">
        <v>24</v>
      </c>
      <c r="C33" s="94"/>
      <c r="D33" s="14"/>
      <c r="E33" s="15"/>
      <c r="F33" s="18">
        <f t="shared" si="1"/>
        <v>0</v>
      </c>
      <c r="G33" s="7"/>
      <c r="H33" s="42"/>
      <c r="I33" s="42">
        <v>0.8</v>
      </c>
      <c r="J33" s="42"/>
      <c r="K33" s="16"/>
      <c r="L33" s="16"/>
      <c r="M33" s="16"/>
      <c r="N33" s="16"/>
      <c r="O33" s="16"/>
      <c r="P33" s="5"/>
      <c r="R33" s="51" t="s">
        <v>54</v>
      </c>
      <c r="S33" s="123" t="s">
        <v>55</v>
      </c>
      <c r="T33" s="124"/>
      <c r="U33" s="125"/>
    </row>
    <row r="34" spans="1:21" ht="16" customHeight="1" thickBot="1">
      <c r="A34" s="112"/>
      <c r="B34" s="95" t="s">
        <v>25</v>
      </c>
      <c r="C34" s="94"/>
      <c r="D34" s="14"/>
      <c r="E34" s="15"/>
      <c r="F34" s="18">
        <f t="shared" si="1"/>
        <v>0</v>
      </c>
      <c r="G34" s="7"/>
      <c r="H34" s="42"/>
      <c r="I34" s="42">
        <v>0.83699999999999997</v>
      </c>
      <c r="J34" s="42"/>
      <c r="K34" s="16"/>
      <c r="L34" s="16"/>
      <c r="M34" s="16"/>
      <c r="N34" s="16"/>
      <c r="O34" s="16"/>
      <c r="P34" s="5"/>
      <c r="R34" s="52" t="s">
        <v>56</v>
      </c>
      <c r="S34" s="126" t="s">
        <v>57</v>
      </c>
      <c r="T34" s="127"/>
      <c r="U34" s="128"/>
    </row>
    <row r="35" spans="1:21" ht="16" customHeight="1" thickBot="1">
      <c r="A35" s="112"/>
      <c r="B35" s="98" t="s">
        <v>23</v>
      </c>
      <c r="C35" s="99"/>
      <c r="D35" s="14"/>
      <c r="E35" s="15"/>
      <c r="F35" s="18">
        <f t="shared" si="1"/>
        <v>0</v>
      </c>
      <c r="G35" s="7"/>
      <c r="H35" s="42"/>
      <c r="I35" s="42">
        <v>0.91110000000000002</v>
      </c>
      <c r="J35" s="42"/>
      <c r="K35" s="16"/>
      <c r="L35" s="16"/>
      <c r="M35" s="16"/>
      <c r="N35" s="16"/>
      <c r="O35" s="16"/>
      <c r="P35" s="5"/>
    </row>
    <row r="36" spans="1:21" ht="16" customHeight="1" thickTop="1">
      <c r="A36" s="112"/>
      <c r="B36" s="98" t="s">
        <v>49</v>
      </c>
      <c r="C36" s="99"/>
      <c r="D36" s="14"/>
      <c r="E36" s="15"/>
      <c r="F36" s="18">
        <f t="shared" si="1"/>
        <v>0</v>
      </c>
      <c r="G36" s="7"/>
      <c r="H36" s="42"/>
      <c r="I36" s="42">
        <v>0.91110000000000002</v>
      </c>
      <c r="J36" s="49"/>
      <c r="K36" s="11"/>
      <c r="L36" s="11"/>
      <c r="M36" s="11"/>
      <c r="N36" s="11"/>
      <c r="O36" s="11"/>
      <c r="P36" s="5"/>
      <c r="R36" s="129" t="s">
        <v>58</v>
      </c>
      <c r="S36" s="130"/>
      <c r="T36" s="130"/>
      <c r="U36" s="131"/>
    </row>
    <row r="37" spans="1:21" ht="16" customHeight="1" thickBot="1">
      <c r="A37" s="112"/>
      <c r="B37" s="95" t="s">
        <v>50</v>
      </c>
      <c r="C37" s="94"/>
      <c r="D37" s="14"/>
      <c r="E37" s="15"/>
      <c r="F37" s="18">
        <f t="shared" si="1"/>
        <v>0</v>
      </c>
      <c r="G37" s="7"/>
      <c r="H37" s="42"/>
      <c r="I37" s="42">
        <v>1</v>
      </c>
      <c r="J37" s="49"/>
      <c r="K37" s="11"/>
      <c r="L37" s="11"/>
      <c r="M37" s="11"/>
      <c r="N37" s="11"/>
      <c r="O37" s="11"/>
      <c r="P37" s="5"/>
      <c r="R37" s="132"/>
      <c r="S37" s="133"/>
      <c r="T37" s="133"/>
      <c r="U37" s="134"/>
    </row>
    <row r="38" spans="1:21" ht="16" customHeight="1" thickTop="1">
      <c r="A38" s="112"/>
      <c r="B38" s="95" t="s">
        <v>26</v>
      </c>
      <c r="C38" s="94"/>
      <c r="D38" s="14"/>
      <c r="E38" s="15"/>
      <c r="F38" s="18">
        <f t="shared" si="1"/>
        <v>0</v>
      </c>
      <c r="G38" s="7"/>
      <c r="H38" s="42"/>
      <c r="I38" s="42"/>
      <c r="J38" s="50"/>
      <c r="K38" s="2"/>
      <c r="L38" s="2"/>
      <c r="M38" s="2"/>
      <c r="N38" s="2"/>
      <c r="O38" s="2"/>
      <c r="P38" s="5"/>
      <c r="R38" s="135" t="s">
        <v>59</v>
      </c>
      <c r="S38" s="136"/>
      <c r="T38" s="136"/>
      <c r="U38" s="137"/>
    </row>
    <row r="39" spans="1:21" ht="16" customHeight="1" thickBot="1">
      <c r="A39" s="112"/>
      <c r="B39" s="95" t="s">
        <v>18</v>
      </c>
      <c r="C39" s="94"/>
      <c r="D39" s="57" t="s">
        <v>64</v>
      </c>
      <c r="E39" s="15"/>
      <c r="F39" s="18"/>
      <c r="G39" s="7"/>
      <c r="H39" s="42"/>
      <c r="I39" s="42"/>
      <c r="J39" s="50"/>
      <c r="K39" s="2"/>
      <c r="L39" s="2"/>
      <c r="M39" s="2"/>
      <c r="N39" s="2"/>
      <c r="O39" s="2"/>
    </row>
    <row r="40" spans="1:21" ht="16" customHeight="1" thickBot="1">
      <c r="A40" s="112"/>
      <c r="B40" s="138" t="s">
        <v>62</v>
      </c>
      <c r="C40" s="139"/>
      <c r="D40" s="14"/>
      <c r="E40" s="15"/>
      <c r="F40" s="18">
        <f t="shared" si="1"/>
        <v>0</v>
      </c>
      <c r="G40" s="7"/>
      <c r="H40" s="42"/>
      <c r="I40" s="42"/>
      <c r="J40" s="50"/>
      <c r="K40" s="2"/>
      <c r="L40" s="2"/>
      <c r="M40" s="2"/>
      <c r="N40" s="2"/>
      <c r="O40" s="2"/>
    </row>
    <row r="41" spans="1:21" ht="16" customHeight="1" thickBot="1">
      <c r="A41" s="112"/>
      <c r="B41" s="138" t="s">
        <v>63</v>
      </c>
      <c r="C41" s="139"/>
      <c r="D41" s="14"/>
      <c r="E41" s="15"/>
      <c r="F41" s="18">
        <f t="shared" si="1"/>
        <v>0</v>
      </c>
      <c r="G41" s="7"/>
      <c r="H41" s="42"/>
      <c r="I41" s="42"/>
      <c r="J41" s="50"/>
      <c r="K41" s="2"/>
      <c r="L41" s="2"/>
      <c r="M41" s="2"/>
      <c r="N41" s="2"/>
      <c r="O41" s="2"/>
    </row>
    <row r="42" spans="1:21" ht="16" customHeight="1" thickBot="1">
      <c r="A42" s="113"/>
      <c r="B42" s="119" t="s">
        <v>27</v>
      </c>
      <c r="C42" s="120"/>
      <c r="D42" s="14"/>
      <c r="E42" s="15"/>
      <c r="F42" s="18">
        <f t="shared" si="1"/>
        <v>0</v>
      </c>
      <c r="G42" s="7"/>
      <c r="H42" s="42"/>
      <c r="I42" s="42"/>
      <c r="J42" s="42"/>
      <c r="K42" s="2"/>
      <c r="L42" s="2"/>
      <c r="M42" s="2"/>
      <c r="N42" s="2"/>
      <c r="O42" s="2"/>
    </row>
    <row r="43" spans="1:21" ht="16" customHeight="1" thickBot="1">
      <c r="A43" s="5"/>
      <c r="B43" s="6"/>
      <c r="C43" s="2"/>
      <c r="D43" s="2"/>
      <c r="F43" s="2"/>
      <c r="G43" s="7"/>
      <c r="H43" s="42"/>
      <c r="I43" s="42"/>
      <c r="J43" s="42"/>
      <c r="K43" s="2"/>
      <c r="L43" s="2"/>
      <c r="M43" s="2"/>
      <c r="N43" s="2"/>
      <c r="O43" s="2"/>
    </row>
    <row r="44" spans="1:21" ht="16" customHeight="1" thickBot="1">
      <c r="A44" s="5"/>
      <c r="B44" s="8"/>
      <c r="C44" s="9"/>
      <c r="D44" s="17" t="s">
        <v>4</v>
      </c>
      <c r="E44" s="17" t="s">
        <v>7</v>
      </c>
      <c r="F44" s="17" t="s">
        <v>8</v>
      </c>
      <c r="G44" s="7"/>
      <c r="H44" s="42"/>
      <c r="I44" s="42"/>
      <c r="J44" s="42"/>
      <c r="K44" s="2"/>
      <c r="L44" s="2"/>
      <c r="M44" s="2"/>
      <c r="N44" s="2"/>
      <c r="O44" s="2"/>
    </row>
    <row r="45" spans="1:21" ht="16" customHeight="1">
      <c r="A45" s="114" t="s">
        <v>28</v>
      </c>
      <c r="B45" s="96" t="s">
        <v>29</v>
      </c>
      <c r="C45" s="97"/>
      <c r="D45" s="14"/>
      <c r="E45" s="15"/>
      <c r="F45" s="44">
        <f>(100*($D$45+$T$15))/(101.3-2.67123*E45)-$T$15</f>
        <v>0</v>
      </c>
      <c r="G45" s="7"/>
      <c r="H45" s="42"/>
      <c r="I45" s="42"/>
      <c r="J45" s="42"/>
      <c r="K45" s="2"/>
      <c r="L45" s="2"/>
      <c r="M45" s="2"/>
      <c r="N45" s="2"/>
      <c r="O45" s="2"/>
    </row>
    <row r="46" spans="1:21" ht="16" customHeight="1">
      <c r="A46" s="115"/>
      <c r="B46" s="96" t="s">
        <v>30</v>
      </c>
      <c r="C46" s="97"/>
      <c r="D46" s="14"/>
      <c r="E46" s="15"/>
      <c r="F46" s="44">
        <f>(100*($D$46+$T$15))/(101.3-2.67123*E46)-$T$15</f>
        <v>0</v>
      </c>
      <c r="G46" s="7"/>
      <c r="H46" s="42"/>
      <c r="I46" s="42"/>
      <c r="J46" s="42"/>
      <c r="K46" s="2"/>
      <c r="L46" s="2"/>
      <c r="M46" s="2"/>
      <c r="N46" s="2"/>
      <c r="O46" s="2"/>
    </row>
    <row r="47" spans="1:21" ht="16" customHeight="1">
      <c r="A47" s="115"/>
      <c r="B47" s="96" t="s">
        <v>45</v>
      </c>
      <c r="C47" s="97"/>
      <c r="D47" s="14"/>
      <c r="E47" s="15"/>
      <c r="F47" s="18">
        <f t="shared" ref="F47:F55" si="2">(100*D47)/(101.3-2.67123*E47)</f>
        <v>0</v>
      </c>
      <c r="G47" s="7"/>
      <c r="H47" s="50"/>
      <c r="I47" s="50"/>
      <c r="J47" s="50"/>
      <c r="K47" s="2"/>
      <c r="L47" s="2"/>
      <c r="M47" s="2"/>
      <c r="N47" s="2"/>
      <c r="O47" s="2"/>
    </row>
    <row r="48" spans="1:21" ht="16" customHeight="1">
      <c r="A48" s="115"/>
      <c r="B48" s="95" t="s">
        <v>40</v>
      </c>
      <c r="C48" s="94"/>
      <c r="D48" s="14"/>
      <c r="E48" s="15"/>
      <c r="F48" s="18">
        <f t="shared" si="2"/>
        <v>0</v>
      </c>
      <c r="G48" s="7"/>
      <c r="H48" s="2"/>
      <c r="I48" s="2"/>
      <c r="J48" s="2"/>
      <c r="K48" s="2"/>
      <c r="L48" s="2"/>
      <c r="M48" s="2"/>
      <c r="N48" s="2"/>
      <c r="O48" s="2"/>
    </row>
    <row r="49" spans="1:15" ht="16" customHeight="1">
      <c r="A49" s="115"/>
      <c r="B49" s="117" t="s">
        <v>17</v>
      </c>
      <c r="C49" s="118"/>
      <c r="D49" s="14"/>
      <c r="E49" s="15"/>
      <c r="F49" s="18">
        <f t="shared" si="2"/>
        <v>0</v>
      </c>
      <c r="G49" s="7"/>
      <c r="H49" s="2"/>
      <c r="I49" s="2"/>
      <c r="J49" s="2"/>
      <c r="K49" s="2"/>
      <c r="L49" s="2"/>
      <c r="M49" s="2"/>
      <c r="N49" s="2"/>
      <c r="O49" s="2"/>
    </row>
    <row r="50" spans="1:15" ht="16" customHeight="1">
      <c r="A50" s="115"/>
      <c r="B50" s="95" t="s">
        <v>61</v>
      </c>
      <c r="C50" s="94"/>
      <c r="D50" s="14"/>
      <c r="E50" s="15"/>
      <c r="F50" s="18">
        <f t="shared" si="2"/>
        <v>0</v>
      </c>
      <c r="G50" s="7"/>
      <c r="H50" s="2"/>
      <c r="I50" s="2"/>
      <c r="J50" s="2"/>
      <c r="K50" s="2"/>
      <c r="L50" s="2"/>
      <c r="M50" s="2"/>
      <c r="N50" s="2"/>
      <c r="O50" s="2"/>
    </row>
    <row r="51" spans="1:15" ht="16" customHeight="1">
      <c r="A51" s="115"/>
      <c r="B51" s="95" t="s">
        <v>15</v>
      </c>
      <c r="C51" s="94"/>
      <c r="D51" s="14"/>
      <c r="E51" s="15"/>
      <c r="F51" s="18">
        <f t="shared" si="2"/>
        <v>0</v>
      </c>
      <c r="G51" s="7"/>
      <c r="H51" s="2"/>
      <c r="I51" s="2"/>
      <c r="J51" s="2"/>
      <c r="K51" s="2"/>
      <c r="L51" s="2"/>
      <c r="M51" s="2"/>
      <c r="N51" s="2"/>
      <c r="O51" s="2"/>
    </row>
    <row r="52" spans="1:15" ht="16" customHeight="1">
      <c r="A52" s="115"/>
      <c r="B52" s="121" t="s">
        <v>14</v>
      </c>
      <c r="C52" s="122"/>
      <c r="D52" s="14"/>
      <c r="E52" s="15"/>
      <c r="F52" s="18">
        <f t="shared" si="2"/>
        <v>0</v>
      </c>
      <c r="G52" s="7"/>
      <c r="H52" s="2"/>
      <c r="I52" s="2"/>
      <c r="J52" s="2"/>
      <c r="K52" s="2"/>
      <c r="L52" s="2"/>
      <c r="M52" s="2"/>
      <c r="N52" s="2"/>
      <c r="O52" s="2"/>
    </row>
    <row r="53" spans="1:15" ht="16" customHeight="1">
      <c r="A53" s="115"/>
      <c r="B53" s="95" t="s">
        <v>18</v>
      </c>
      <c r="C53" s="94"/>
      <c r="D53" s="57" t="s">
        <v>64</v>
      </c>
      <c r="E53" s="15"/>
      <c r="F53" s="18"/>
      <c r="G53" s="7"/>
      <c r="H53" s="2"/>
      <c r="I53" s="2"/>
      <c r="J53" s="2"/>
      <c r="K53" s="2"/>
      <c r="L53" s="2"/>
      <c r="M53" s="2"/>
      <c r="N53" s="2"/>
      <c r="O53" s="2"/>
    </row>
    <row r="54" spans="1:15" ht="16" customHeight="1">
      <c r="A54" s="115"/>
      <c r="B54" s="119" t="s">
        <v>19</v>
      </c>
      <c r="C54" s="120"/>
      <c r="D54" s="14"/>
      <c r="E54" s="15"/>
      <c r="F54" s="12">
        <f t="shared" si="2"/>
        <v>0</v>
      </c>
      <c r="G54" s="7"/>
      <c r="H54" s="2"/>
      <c r="I54" s="2"/>
      <c r="J54" s="2"/>
      <c r="K54" s="2"/>
      <c r="L54" s="2"/>
      <c r="M54" s="2"/>
      <c r="N54" s="2"/>
      <c r="O54" s="2"/>
    </row>
    <row r="55" spans="1:15" ht="16" customHeight="1" thickBot="1">
      <c r="A55" s="116"/>
      <c r="B55" s="119" t="s">
        <v>32</v>
      </c>
      <c r="C55" s="120"/>
      <c r="D55" s="14"/>
      <c r="E55" s="15"/>
      <c r="F55" s="12">
        <f t="shared" si="2"/>
        <v>0</v>
      </c>
      <c r="G55" s="7"/>
      <c r="H55" s="2"/>
      <c r="I55" s="2"/>
      <c r="J55" s="2"/>
      <c r="K55" s="2"/>
      <c r="L55" s="2"/>
      <c r="M55" s="2"/>
      <c r="N55" s="2"/>
      <c r="O55" s="2"/>
    </row>
    <row r="56" spans="1:15" ht="15.75" customHeight="1">
      <c r="A56" s="2"/>
      <c r="B56" s="2"/>
      <c r="C56" s="2"/>
      <c r="D56" s="2"/>
      <c r="E56" s="2"/>
      <c r="F56" s="2"/>
      <c r="G56" s="7"/>
      <c r="H56" s="2"/>
      <c r="I56" s="2"/>
      <c r="J56" s="2"/>
      <c r="K56" s="2"/>
      <c r="L56" s="2"/>
      <c r="M56" s="2"/>
      <c r="N56" s="2"/>
      <c r="O56" s="2"/>
    </row>
    <row r="57" spans="1:15" ht="15.75" customHeight="1">
      <c r="A57" s="2"/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  <c r="O57" s="2"/>
    </row>
    <row r="58" spans="1:15" ht="15.75" customHeight="1">
      <c r="A58" s="2"/>
      <c r="B58" s="2"/>
      <c r="C58" s="2"/>
      <c r="D58" s="2"/>
      <c r="E58" s="2"/>
      <c r="F58" s="2"/>
      <c r="G58" s="7"/>
      <c r="H58" s="2"/>
      <c r="I58" s="2"/>
      <c r="J58" s="2"/>
      <c r="K58" s="2"/>
      <c r="L58" s="2"/>
      <c r="M58" s="2"/>
      <c r="N58" s="2"/>
      <c r="O58" s="2"/>
    </row>
    <row r="59" spans="1:15" ht="15.75" customHeight="1">
      <c r="A59" s="2"/>
      <c r="B59" s="2"/>
      <c r="C59" s="2"/>
      <c r="D59" s="2"/>
      <c r="E59" s="2"/>
      <c r="F59" s="2"/>
      <c r="G59" s="7"/>
      <c r="H59" s="2"/>
      <c r="I59" s="2"/>
      <c r="J59" s="2"/>
      <c r="K59" s="2"/>
      <c r="L59" s="2"/>
      <c r="M59" s="2"/>
      <c r="N59" s="2"/>
      <c r="O59" s="2"/>
    </row>
    <row r="60" spans="1:15" ht="15.75" customHeight="1">
      <c r="A60" s="2"/>
      <c r="B60" s="2"/>
      <c r="C60" s="2"/>
      <c r="D60" s="2"/>
      <c r="E60" s="2"/>
      <c r="F60" s="2"/>
      <c r="G60" s="7"/>
      <c r="H60" s="2"/>
      <c r="I60" s="2"/>
      <c r="J60" s="2"/>
      <c r="K60" s="2"/>
      <c r="L60" s="2"/>
      <c r="M60" s="2"/>
      <c r="N60" s="2"/>
      <c r="O60" s="2"/>
    </row>
    <row r="61" spans="1:15" ht="15.75" customHeight="1">
      <c r="A61" s="2"/>
      <c r="B61" s="2"/>
      <c r="C61" s="2"/>
      <c r="D61" s="2"/>
      <c r="E61" s="2"/>
      <c r="F61" s="2"/>
      <c r="G61" s="7"/>
      <c r="H61" s="2"/>
      <c r="I61" s="2"/>
      <c r="J61" s="2"/>
      <c r="K61" s="2"/>
      <c r="L61" s="2"/>
      <c r="M61" s="2"/>
      <c r="N61" s="2"/>
      <c r="O61" s="2"/>
    </row>
    <row r="62" spans="1:15" ht="15.75" customHeight="1">
      <c r="A62" s="5"/>
      <c r="B62" s="6"/>
      <c r="C62" s="2"/>
      <c r="D62" s="2"/>
      <c r="F62" s="2"/>
      <c r="G62" s="7"/>
      <c r="H62" s="2"/>
      <c r="I62" s="2"/>
      <c r="J62" s="2"/>
      <c r="K62" s="2"/>
      <c r="L62" s="2"/>
      <c r="M62" s="2"/>
      <c r="N62" s="2"/>
      <c r="O62" s="2"/>
    </row>
    <row r="63" spans="1:15" ht="15.75" customHeight="1">
      <c r="A63" s="5"/>
      <c r="B63" s="6"/>
      <c r="C63" s="2"/>
      <c r="D63" s="2"/>
      <c r="F63" s="2"/>
      <c r="G63" s="7"/>
      <c r="H63" s="2"/>
      <c r="I63" s="2"/>
      <c r="J63" s="2"/>
      <c r="K63" s="2"/>
      <c r="L63" s="2"/>
      <c r="M63" s="2"/>
      <c r="N63" s="2"/>
      <c r="O63" s="2"/>
    </row>
    <row r="64" spans="1:15" ht="15.75" customHeight="1">
      <c r="A64" s="5"/>
      <c r="B64" s="6"/>
      <c r="C64" s="2"/>
      <c r="D64" s="2"/>
      <c r="F64" s="2"/>
      <c r="G64" s="7"/>
      <c r="H64" s="2"/>
      <c r="I64" s="2"/>
      <c r="J64" s="2"/>
      <c r="K64" s="2"/>
      <c r="L64" s="2"/>
      <c r="M64" s="2"/>
      <c r="N64" s="2"/>
      <c r="O64" s="2"/>
    </row>
    <row r="65" spans="1:172" ht="15.75" customHeight="1">
      <c r="A65" s="19"/>
      <c r="B65" s="20"/>
      <c r="C65" s="21"/>
      <c r="D65" s="21"/>
      <c r="E65" s="19"/>
      <c r="F65" s="21"/>
      <c r="G65" s="22"/>
      <c r="H65" s="21"/>
      <c r="I65" s="21"/>
      <c r="J65" s="21"/>
      <c r="K65" s="21"/>
      <c r="L65" s="21"/>
      <c r="M65" s="21"/>
      <c r="N65" s="21"/>
      <c r="O65" s="21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</row>
    <row r="66" spans="1:172" ht="15.75" customHeight="1" thickBot="1">
      <c r="A66" s="86" t="s">
        <v>33</v>
      </c>
      <c r="B66" s="6"/>
      <c r="C66" s="2"/>
      <c r="D66" s="2"/>
      <c r="F66" s="2"/>
      <c r="G66" s="7"/>
      <c r="H66" s="2"/>
      <c r="I66" s="2"/>
      <c r="J66" s="2"/>
      <c r="K66" s="2"/>
      <c r="L66" s="2"/>
      <c r="M66" s="2"/>
      <c r="N66" s="2"/>
      <c r="O66" s="86" t="s">
        <v>33</v>
      </c>
      <c r="Q66" s="2"/>
      <c r="R66" s="2"/>
      <c r="T66" s="2"/>
      <c r="U66" s="7"/>
      <c r="V66" s="2"/>
      <c r="W66" s="2"/>
      <c r="X66" s="2"/>
      <c r="Y66" s="2"/>
      <c r="Z66" s="2"/>
      <c r="AA66" s="2"/>
      <c r="AC66" s="86" t="s">
        <v>33</v>
      </c>
      <c r="AD66" s="35"/>
      <c r="AE66" s="2"/>
      <c r="AF66" s="2"/>
      <c r="AG66" s="35"/>
      <c r="AH66" s="2"/>
      <c r="AI66" s="7"/>
      <c r="AJ66" s="2"/>
      <c r="AK66" s="2"/>
      <c r="AL66" s="2"/>
      <c r="AM66" s="2"/>
      <c r="AN66" s="2"/>
      <c r="AO66" s="2"/>
      <c r="AP66" s="35"/>
      <c r="AQ66" s="86" t="s">
        <v>33</v>
      </c>
      <c r="AR66" s="35"/>
      <c r="AS66" s="2"/>
      <c r="AT66" s="2"/>
      <c r="AU66" s="35"/>
      <c r="AV66" s="2"/>
      <c r="AW66" s="7"/>
      <c r="AX66" s="2"/>
      <c r="AY66" s="2"/>
      <c r="AZ66" s="2"/>
      <c r="BA66" s="2"/>
      <c r="BB66" s="2"/>
      <c r="BC66" s="2"/>
      <c r="BD66" s="35"/>
      <c r="BE66" s="86" t="s">
        <v>33</v>
      </c>
      <c r="BF66" s="35"/>
      <c r="BG66" s="2"/>
      <c r="BH66" s="2"/>
      <c r="BI66" s="35"/>
      <c r="BJ66" s="2"/>
      <c r="BK66" s="7"/>
      <c r="BL66" s="2"/>
      <c r="BM66" s="2"/>
      <c r="BN66" s="2"/>
      <c r="BO66" s="2"/>
      <c r="BP66" s="2"/>
      <c r="BQ66" s="2"/>
      <c r="BR66" s="35"/>
      <c r="BS66" s="86" t="s">
        <v>33</v>
      </c>
      <c r="BT66" s="35"/>
      <c r="BU66" s="2"/>
      <c r="BV66" s="2"/>
      <c r="BW66" s="35"/>
      <c r="BX66" s="2"/>
      <c r="BY66" s="7"/>
      <c r="BZ66" s="2"/>
      <c r="CA66" s="2"/>
      <c r="CB66" s="2"/>
      <c r="CC66" s="2"/>
      <c r="CD66" s="2"/>
      <c r="CE66" s="2"/>
      <c r="CF66" s="35"/>
      <c r="CG66" s="86" t="s">
        <v>33</v>
      </c>
      <c r="CH66" s="35"/>
      <c r="CI66" s="2"/>
      <c r="CJ66" s="2"/>
      <c r="CK66" s="35"/>
      <c r="CL66" s="2"/>
      <c r="CM66" s="7"/>
      <c r="CN66" s="2"/>
      <c r="CO66" s="2"/>
      <c r="CP66" s="2"/>
      <c r="CQ66" s="2"/>
      <c r="CR66" s="2"/>
      <c r="CS66" s="2"/>
      <c r="CT66" s="35"/>
      <c r="CU66" s="86" t="s">
        <v>33</v>
      </c>
      <c r="CV66" s="35"/>
      <c r="CW66" s="2"/>
      <c r="CX66" s="2"/>
      <c r="CY66" s="35"/>
      <c r="CZ66" s="2"/>
      <c r="DA66" s="7"/>
      <c r="DB66" s="2"/>
      <c r="DC66" s="2"/>
      <c r="DD66" s="2"/>
      <c r="DE66" s="2"/>
      <c r="DF66" s="2"/>
      <c r="DG66" s="2"/>
      <c r="DH66" s="35"/>
      <c r="DI66" s="86" t="s">
        <v>33</v>
      </c>
      <c r="DJ66" s="35"/>
      <c r="DK66" s="2"/>
      <c r="DL66" s="2"/>
      <c r="DM66" s="35"/>
      <c r="DN66" s="2"/>
      <c r="DO66" s="7"/>
      <c r="DP66" s="2"/>
      <c r="DQ66" s="2"/>
      <c r="DR66" s="2"/>
      <c r="DS66" s="2"/>
      <c r="DT66" s="2"/>
      <c r="DU66" s="2"/>
      <c r="DV66" s="35"/>
      <c r="DW66" s="86" t="s">
        <v>33</v>
      </c>
      <c r="DX66" s="35"/>
      <c r="DY66" s="2"/>
      <c r="DZ66" s="2"/>
      <c r="EA66" s="35"/>
      <c r="EB66" s="2"/>
      <c r="EC66" s="7"/>
      <c r="ED66" s="2"/>
      <c r="EE66" s="2"/>
      <c r="EF66" s="2"/>
      <c r="EG66" s="2"/>
      <c r="EH66" s="2"/>
      <c r="EI66" s="2"/>
      <c r="EJ66" s="35"/>
      <c r="EK66" s="86" t="s">
        <v>33</v>
      </c>
      <c r="EL66" s="35"/>
      <c r="EM66" s="2"/>
      <c r="EN66" s="2"/>
      <c r="EO66" s="35"/>
      <c r="EP66" s="2"/>
      <c r="EQ66" s="7"/>
      <c r="ER66" s="2"/>
      <c r="ES66" s="2"/>
      <c r="ET66" s="2"/>
      <c r="EU66" s="2"/>
      <c r="EV66" s="2"/>
      <c r="EW66" s="2"/>
      <c r="EX66" s="35"/>
      <c r="EY66" s="86" t="s">
        <v>33</v>
      </c>
      <c r="EZ66" s="35"/>
      <c r="FA66" s="2"/>
      <c r="FB66" s="2"/>
      <c r="FC66" s="35"/>
      <c r="FD66" s="2"/>
      <c r="FE66" s="7"/>
      <c r="FF66" s="2"/>
      <c r="FG66" s="2"/>
      <c r="FH66" s="2"/>
      <c r="FI66" s="2"/>
      <c r="FJ66" s="2"/>
      <c r="FK66" s="2"/>
      <c r="FL66" s="35"/>
      <c r="FM66" s="86" t="s">
        <v>33</v>
      </c>
      <c r="FN66" s="35"/>
      <c r="FO66" s="35"/>
      <c r="FP66" s="35"/>
    </row>
    <row r="67" spans="1:172" ht="15.75" customHeight="1" thickTop="1">
      <c r="A67" s="86"/>
      <c r="B67" s="6"/>
      <c r="C67" s="60">
        <v>1</v>
      </c>
      <c r="D67" s="83" t="s">
        <v>34</v>
      </c>
      <c r="E67" s="84"/>
      <c r="F67" s="84"/>
      <c r="G67" s="84"/>
      <c r="H67" s="84"/>
      <c r="I67" s="84"/>
      <c r="J67" s="84"/>
      <c r="K67" s="84"/>
      <c r="L67" s="84"/>
      <c r="M67" s="84"/>
      <c r="N67" s="23"/>
      <c r="O67" s="86"/>
      <c r="Q67" s="60">
        <v>2</v>
      </c>
      <c r="R67" s="83" t="s">
        <v>34</v>
      </c>
      <c r="S67" s="82"/>
      <c r="T67" s="82"/>
      <c r="U67" s="82"/>
      <c r="V67" s="82"/>
      <c r="W67" s="82"/>
      <c r="X67" s="82"/>
      <c r="Y67" s="82"/>
      <c r="Z67" s="82"/>
      <c r="AA67" s="82"/>
      <c r="AB67" s="23"/>
      <c r="AC67" s="86"/>
      <c r="AD67" s="35"/>
      <c r="AE67" s="60">
        <v>3</v>
      </c>
      <c r="AF67" s="83" t="s">
        <v>34</v>
      </c>
      <c r="AG67" s="82"/>
      <c r="AH67" s="82"/>
      <c r="AI67" s="82"/>
      <c r="AJ67" s="82"/>
      <c r="AK67" s="82"/>
      <c r="AL67" s="82"/>
      <c r="AM67" s="82"/>
      <c r="AN67" s="82"/>
      <c r="AO67" s="82"/>
      <c r="AP67" s="23"/>
      <c r="AQ67" s="86"/>
      <c r="AR67" s="35"/>
      <c r="AS67" s="60">
        <v>4</v>
      </c>
      <c r="AT67" s="83" t="s">
        <v>34</v>
      </c>
      <c r="AU67" s="82"/>
      <c r="AV67" s="82"/>
      <c r="AW67" s="82"/>
      <c r="AX67" s="82"/>
      <c r="AY67" s="82"/>
      <c r="AZ67" s="82"/>
      <c r="BA67" s="82"/>
      <c r="BB67" s="82"/>
      <c r="BC67" s="82"/>
      <c r="BD67" s="23"/>
      <c r="BE67" s="86"/>
      <c r="BF67" s="35"/>
      <c r="BG67" s="60">
        <v>5</v>
      </c>
      <c r="BH67" s="83" t="s">
        <v>34</v>
      </c>
      <c r="BI67" s="82"/>
      <c r="BJ67" s="82"/>
      <c r="BK67" s="82"/>
      <c r="BL67" s="82"/>
      <c r="BM67" s="82"/>
      <c r="BN67" s="82"/>
      <c r="BO67" s="82"/>
      <c r="BP67" s="82"/>
      <c r="BQ67" s="82"/>
      <c r="BR67" s="23"/>
      <c r="BS67" s="86"/>
      <c r="BT67" s="35"/>
      <c r="BU67" s="60">
        <v>6</v>
      </c>
      <c r="BV67" s="83" t="s">
        <v>34</v>
      </c>
      <c r="BW67" s="82"/>
      <c r="BX67" s="82"/>
      <c r="BY67" s="82"/>
      <c r="BZ67" s="82"/>
      <c r="CA67" s="82"/>
      <c r="CB67" s="82"/>
      <c r="CC67" s="82"/>
      <c r="CD67" s="82"/>
      <c r="CE67" s="82"/>
      <c r="CF67" s="23"/>
      <c r="CG67" s="86"/>
      <c r="CH67" s="35"/>
      <c r="CI67" s="60">
        <v>7</v>
      </c>
      <c r="CJ67" s="83" t="s">
        <v>34</v>
      </c>
      <c r="CK67" s="82"/>
      <c r="CL67" s="82"/>
      <c r="CM67" s="82"/>
      <c r="CN67" s="82"/>
      <c r="CO67" s="82"/>
      <c r="CP67" s="82"/>
      <c r="CQ67" s="82"/>
      <c r="CR67" s="82"/>
      <c r="CS67" s="82"/>
      <c r="CT67" s="23"/>
      <c r="CU67" s="86"/>
      <c r="CV67" s="35"/>
      <c r="CW67" s="60">
        <v>8</v>
      </c>
      <c r="CX67" s="83" t="s">
        <v>34</v>
      </c>
      <c r="CY67" s="82"/>
      <c r="CZ67" s="82"/>
      <c r="DA67" s="82"/>
      <c r="DB67" s="82"/>
      <c r="DC67" s="82"/>
      <c r="DD67" s="82"/>
      <c r="DE67" s="82"/>
      <c r="DF67" s="82"/>
      <c r="DG67" s="82"/>
      <c r="DH67" s="23"/>
      <c r="DI67" s="86"/>
      <c r="DJ67" s="35"/>
      <c r="DK67" s="60">
        <v>9</v>
      </c>
      <c r="DL67" s="83" t="s">
        <v>34</v>
      </c>
      <c r="DM67" s="82"/>
      <c r="DN67" s="82"/>
      <c r="DO67" s="82"/>
      <c r="DP67" s="82"/>
      <c r="DQ67" s="82"/>
      <c r="DR67" s="82"/>
      <c r="DS67" s="82"/>
      <c r="DT67" s="82"/>
      <c r="DU67" s="82"/>
      <c r="DV67" s="23"/>
      <c r="DW67" s="86"/>
      <c r="DX67" s="35"/>
      <c r="DY67" s="60">
        <v>10</v>
      </c>
      <c r="DZ67" s="83" t="s">
        <v>34</v>
      </c>
      <c r="EA67" s="82"/>
      <c r="EB67" s="82"/>
      <c r="EC67" s="82"/>
      <c r="ED67" s="82"/>
      <c r="EE67" s="82"/>
      <c r="EF67" s="82"/>
      <c r="EG67" s="82"/>
      <c r="EH67" s="82"/>
      <c r="EI67" s="82"/>
      <c r="EJ67" s="23"/>
      <c r="EK67" s="86"/>
      <c r="EL67" s="35"/>
      <c r="EM67" s="60">
        <v>11</v>
      </c>
      <c r="EN67" s="83" t="s">
        <v>34</v>
      </c>
      <c r="EO67" s="82"/>
      <c r="EP67" s="82"/>
      <c r="EQ67" s="82"/>
      <c r="ER67" s="82"/>
      <c r="ES67" s="82"/>
      <c r="ET67" s="82"/>
      <c r="EU67" s="82"/>
      <c r="EV67" s="82"/>
      <c r="EW67" s="82"/>
      <c r="EX67" s="23"/>
      <c r="EY67" s="86"/>
      <c r="EZ67" s="35"/>
      <c r="FA67" s="60">
        <v>12</v>
      </c>
      <c r="FB67" s="83" t="s">
        <v>34</v>
      </c>
      <c r="FC67" s="82"/>
      <c r="FD67" s="82"/>
      <c r="FE67" s="82"/>
      <c r="FF67" s="82"/>
      <c r="FG67" s="82"/>
      <c r="FH67" s="82"/>
      <c r="FI67" s="82"/>
      <c r="FJ67" s="82"/>
      <c r="FK67" s="82"/>
      <c r="FL67" s="23"/>
      <c r="FM67" s="86"/>
    </row>
    <row r="68" spans="1:172" ht="15.75" customHeight="1" thickBot="1">
      <c r="A68" s="86"/>
      <c r="B68" s="6"/>
      <c r="C68" s="61"/>
      <c r="D68" s="83"/>
      <c r="E68" s="84"/>
      <c r="F68" s="84"/>
      <c r="G68" s="84"/>
      <c r="H68" s="84"/>
      <c r="I68" s="84"/>
      <c r="J68" s="84"/>
      <c r="K68" s="84"/>
      <c r="L68" s="84"/>
      <c r="M68" s="84"/>
      <c r="N68" s="23"/>
      <c r="O68" s="86"/>
      <c r="Q68" s="61"/>
      <c r="R68" s="85"/>
      <c r="S68" s="82"/>
      <c r="T68" s="82"/>
      <c r="U68" s="82"/>
      <c r="V68" s="82"/>
      <c r="W68" s="82"/>
      <c r="X68" s="82"/>
      <c r="Y68" s="82"/>
      <c r="Z68" s="82"/>
      <c r="AA68" s="82"/>
      <c r="AB68" s="23"/>
      <c r="AC68" s="86"/>
      <c r="AD68" s="35"/>
      <c r="AE68" s="61"/>
      <c r="AF68" s="85"/>
      <c r="AG68" s="82"/>
      <c r="AH68" s="82"/>
      <c r="AI68" s="82"/>
      <c r="AJ68" s="82"/>
      <c r="AK68" s="82"/>
      <c r="AL68" s="82"/>
      <c r="AM68" s="82"/>
      <c r="AN68" s="82"/>
      <c r="AO68" s="82"/>
      <c r="AP68" s="23"/>
      <c r="AQ68" s="86"/>
      <c r="AR68" s="35"/>
      <c r="AS68" s="61"/>
      <c r="AT68" s="85"/>
      <c r="AU68" s="82"/>
      <c r="AV68" s="82"/>
      <c r="AW68" s="82"/>
      <c r="AX68" s="82"/>
      <c r="AY68" s="82"/>
      <c r="AZ68" s="82"/>
      <c r="BA68" s="82"/>
      <c r="BB68" s="82"/>
      <c r="BC68" s="82"/>
      <c r="BD68" s="23"/>
      <c r="BE68" s="86"/>
      <c r="BF68" s="35"/>
      <c r="BG68" s="61"/>
      <c r="BH68" s="85"/>
      <c r="BI68" s="82"/>
      <c r="BJ68" s="82"/>
      <c r="BK68" s="82"/>
      <c r="BL68" s="82"/>
      <c r="BM68" s="82"/>
      <c r="BN68" s="82"/>
      <c r="BO68" s="82"/>
      <c r="BP68" s="82"/>
      <c r="BQ68" s="82"/>
      <c r="BR68" s="23"/>
      <c r="BS68" s="86"/>
      <c r="BT68" s="35"/>
      <c r="BU68" s="61"/>
      <c r="BV68" s="85"/>
      <c r="BW68" s="82"/>
      <c r="BX68" s="82"/>
      <c r="BY68" s="82"/>
      <c r="BZ68" s="82"/>
      <c r="CA68" s="82"/>
      <c r="CB68" s="82"/>
      <c r="CC68" s="82"/>
      <c r="CD68" s="82"/>
      <c r="CE68" s="82"/>
      <c r="CF68" s="23"/>
      <c r="CG68" s="86"/>
      <c r="CH68" s="35"/>
      <c r="CI68" s="61"/>
      <c r="CJ68" s="85"/>
      <c r="CK68" s="82"/>
      <c r="CL68" s="82"/>
      <c r="CM68" s="82"/>
      <c r="CN68" s="82"/>
      <c r="CO68" s="82"/>
      <c r="CP68" s="82"/>
      <c r="CQ68" s="82"/>
      <c r="CR68" s="82"/>
      <c r="CS68" s="82"/>
      <c r="CT68" s="23"/>
      <c r="CU68" s="86"/>
      <c r="CV68" s="35"/>
      <c r="CW68" s="61"/>
      <c r="CX68" s="85"/>
      <c r="CY68" s="82"/>
      <c r="CZ68" s="82"/>
      <c r="DA68" s="82"/>
      <c r="DB68" s="82"/>
      <c r="DC68" s="82"/>
      <c r="DD68" s="82"/>
      <c r="DE68" s="82"/>
      <c r="DF68" s="82"/>
      <c r="DG68" s="82"/>
      <c r="DH68" s="23"/>
      <c r="DI68" s="86"/>
      <c r="DJ68" s="35"/>
      <c r="DK68" s="61"/>
      <c r="DL68" s="85"/>
      <c r="DM68" s="82"/>
      <c r="DN68" s="82"/>
      <c r="DO68" s="82"/>
      <c r="DP68" s="82"/>
      <c r="DQ68" s="82"/>
      <c r="DR68" s="82"/>
      <c r="DS68" s="82"/>
      <c r="DT68" s="82"/>
      <c r="DU68" s="82"/>
      <c r="DV68" s="23"/>
      <c r="DW68" s="86"/>
      <c r="DX68" s="35"/>
      <c r="DY68" s="61"/>
      <c r="DZ68" s="85"/>
      <c r="EA68" s="82"/>
      <c r="EB68" s="82"/>
      <c r="EC68" s="82"/>
      <c r="ED68" s="82"/>
      <c r="EE68" s="82"/>
      <c r="EF68" s="82"/>
      <c r="EG68" s="82"/>
      <c r="EH68" s="82"/>
      <c r="EI68" s="82"/>
      <c r="EJ68" s="23"/>
      <c r="EK68" s="86"/>
      <c r="EL68" s="35"/>
      <c r="EM68" s="61"/>
      <c r="EN68" s="85"/>
      <c r="EO68" s="82"/>
      <c r="EP68" s="82"/>
      <c r="EQ68" s="82"/>
      <c r="ER68" s="82"/>
      <c r="ES68" s="82"/>
      <c r="ET68" s="82"/>
      <c r="EU68" s="82"/>
      <c r="EV68" s="82"/>
      <c r="EW68" s="82"/>
      <c r="EX68" s="23"/>
      <c r="EY68" s="86"/>
      <c r="EZ68" s="35"/>
      <c r="FA68" s="61"/>
      <c r="FB68" s="85"/>
      <c r="FC68" s="82"/>
      <c r="FD68" s="82"/>
      <c r="FE68" s="82"/>
      <c r="FF68" s="82"/>
      <c r="FG68" s="82"/>
      <c r="FH68" s="82"/>
      <c r="FI68" s="82"/>
      <c r="FJ68" s="82"/>
      <c r="FK68" s="82"/>
      <c r="FL68" s="23"/>
      <c r="FM68" s="86"/>
    </row>
    <row r="69" spans="1:172" ht="21" customHeight="1" thickTop="1">
      <c r="A69" s="86"/>
      <c r="B69" s="6"/>
      <c r="C69" s="81" t="s">
        <v>35</v>
      </c>
      <c r="D69" s="82"/>
      <c r="E69" s="82"/>
      <c r="F69" s="2"/>
      <c r="G69" s="81" t="s">
        <v>36</v>
      </c>
      <c r="H69" s="82"/>
      <c r="I69" s="82"/>
      <c r="J69" s="2"/>
      <c r="K69" s="81" t="s">
        <v>37</v>
      </c>
      <c r="L69" s="82"/>
      <c r="M69" s="82"/>
      <c r="N69" s="2"/>
      <c r="O69" s="86"/>
      <c r="Q69" s="81" t="s">
        <v>35</v>
      </c>
      <c r="R69" s="82"/>
      <c r="S69" s="82"/>
      <c r="T69" s="2"/>
      <c r="U69" s="81" t="s">
        <v>36</v>
      </c>
      <c r="V69" s="82"/>
      <c r="W69" s="82"/>
      <c r="X69" s="2"/>
      <c r="Y69" s="81" t="s">
        <v>37</v>
      </c>
      <c r="Z69" s="82"/>
      <c r="AA69" s="82"/>
      <c r="AB69" s="2"/>
      <c r="AC69" s="86"/>
      <c r="AD69" s="35"/>
      <c r="AE69" s="81" t="s">
        <v>35</v>
      </c>
      <c r="AF69" s="82"/>
      <c r="AG69" s="82"/>
      <c r="AH69" s="2"/>
      <c r="AI69" s="81" t="s">
        <v>36</v>
      </c>
      <c r="AJ69" s="82"/>
      <c r="AK69" s="82"/>
      <c r="AL69" s="2"/>
      <c r="AM69" s="81" t="s">
        <v>37</v>
      </c>
      <c r="AN69" s="82"/>
      <c r="AO69" s="82"/>
      <c r="AP69" s="2"/>
      <c r="AQ69" s="86"/>
      <c r="AR69" s="35"/>
      <c r="AS69" s="81" t="s">
        <v>35</v>
      </c>
      <c r="AT69" s="82"/>
      <c r="AU69" s="82"/>
      <c r="AV69" s="2"/>
      <c r="AW69" s="81" t="s">
        <v>36</v>
      </c>
      <c r="AX69" s="82"/>
      <c r="AY69" s="82"/>
      <c r="AZ69" s="2"/>
      <c r="BA69" s="81" t="s">
        <v>37</v>
      </c>
      <c r="BB69" s="82"/>
      <c r="BC69" s="82"/>
      <c r="BD69" s="2"/>
      <c r="BE69" s="86"/>
      <c r="BF69" s="35"/>
      <c r="BG69" s="81" t="s">
        <v>35</v>
      </c>
      <c r="BH69" s="82"/>
      <c r="BI69" s="82"/>
      <c r="BJ69" s="2"/>
      <c r="BK69" s="81" t="s">
        <v>36</v>
      </c>
      <c r="BL69" s="82"/>
      <c r="BM69" s="82"/>
      <c r="BN69" s="2"/>
      <c r="BO69" s="81" t="s">
        <v>37</v>
      </c>
      <c r="BP69" s="82"/>
      <c r="BQ69" s="82"/>
      <c r="BR69" s="2"/>
      <c r="BS69" s="86"/>
      <c r="BT69" s="35"/>
      <c r="BU69" s="81" t="s">
        <v>35</v>
      </c>
      <c r="BV69" s="82"/>
      <c r="BW69" s="82"/>
      <c r="BX69" s="2"/>
      <c r="BY69" s="81" t="s">
        <v>36</v>
      </c>
      <c r="BZ69" s="82"/>
      <c r="CA69" s="82"/>
      <c r="CB69" s="2"/>
      <c r="CC69" s="81" t="s">
        <v>37</v>
      </c>
      <c r="CD69" s="82"/>
      <c r="CE69" s="82"/>
      <c r="CF69" s="2"/>
      <c r="CG69" s="86"/>
      <c r="CH69" s="35"/>
      <c r="CI69" s="81" t="s">
        <v>35</v>
      </c>
      <c r="CJ69" s="82"/>
      <c r="CK69" s="82"/>
      <c r="CL69" s="2"/>
      <c r="CM69" s="81" t="s">
        <v>36</v>
      </c>
      <c r="CN69" s="82"/>
      <c r="CO69" s="82"/>
      <c r="CP69" s="2"/>
      <c r="CQ69" s="81" t="s">
        <v>37</v>
      </c>
      <c r="CR69" s="82"/>
      <c r="CS69" s="82"/>
      <c r="CT69" s="2"/>
      <c r="CU69" s="86"/>
      <c r="CV69" s="35"/>
      <c r="CW69" s="81" t="s">
        <v>35</v>
      </c>
      <c r="CX69" s="82"/>
      <c r="CY69" s="82"/>
      <c r="CZ69" s="2"/>
      <c r="DA69" s="81" t="s">
        <v>36</v>
      </c>
      <c r="DB69" s="82"/>
      <c r="DC69" s="82"/>
      <c r="DD69" s="2"/>
      <c r="DE69" s="81" t="s">
        <v>37</v>
      </c>
      <c r="DF69" s="82"/>
      <c r="DG69" s="82"/>
      <c r="DH69" s="2"/>
      <c r="DI69" s="86"/>
      <c r="DJ69" s="35"/>
      <c r="DK69" s="81" t="s">
        <v>35</v>
      </c>
      <c r="DL69" s="82"/>
      <c r="DM69" s="82"/>
      <c r="DN69" s="2"/>
      <c r="DO69" s="81" t="s">
        <v>36</v>
      </c>
      <c r="DP69" s="82"/>
      <c r="DQ69" s="82"/>
      <c r="DR69" s="2"/>
      <c r="DS69" s="81" t="s">
        <v>37</v>
      </c>
      <c r="DT69" s="82"/>
      <c r="DU69" s="82"/>
      <c r="DV69" s="2"/>
      <c r="DW69" s="86"/>
      <c r="DX69" s="35"/>
      <c r="DY69" s="81" t="s">
        <v>35</v>
      </c>
      <c r="DZ69" s="82"/>
      <c r="EA69" s="82"/>
      <c r="EB69" s="2"/>
      <c r="EC69" s="81" t="s">
        <v>36</v>
      </c>
      <c r="ED69" s="82"/>
      <c r="EE69" s="82"/>
      <c r="EF69" s="2"/>
      <c r="EG69" s="81" t="s">
        <v>37</v>
      </c>
      <c r="EH69" s="82"/>
      <c r="EI69" s="82"/>
      <c r="EJ69" s="2"/>
      <c r="EK69" s="86"/>
      <c r="EL69" s="35"/>
      <c r="EM69" s="81" t="s">
        <v>35</v>
      </c>
      <c r="EN69" s="82"/>
      <c r="EO69" s="82"/>
      <c r="EP69" s="2"/>
      <c r="EQ69" s="81" t="s">
        <v>36</v>
      </c>
      <c r="ER69" s="82"/>
      <c r="ES69" s="82"/>
      <c r="ET69" s="2"/>
      <c r="EU69" s="81" t="s">
        <v>37</v>
      </c>
      <c r="EV69" s="82"/>
      <c r="EW69" s="82"/>
      <c r="EX69" s="2"/>
      <c r="EY69" s="86"/>
      <c r="EZ69" s="35"/>
      <c r="FA69" s="81" t="s">
        <v>35</v>
      </c>
      <c r="FB69" s="82"/>
      <c r="FC69" s="82"/>
      <c r="FD69" s="2"/>
      <c r="FE69" s="81" t="s">
        <v>36</v>
      </c>
      <c r="FF69" s="82"/>
      <c r="FG69" s="82"/>
      <c r="FH69" s="2"/>
      <c r="FI69" s="81" t="s">
        <v>37</v>
      </c>
      <c r="FJ69" s="82"/>
      <c r="FK69" s="82"/>
      <c r="FL69" s="2"/>
      <c r="FM69" s="86"/>
    </row>
    <row r="70" spans="1:172" ht="15.75" customHeight="1">
      <c r="A70" s="86"/>
      <c r="B70" s="6"/>
      <c r="C70" s="82"/>
      <c r="D70" s="82"/>
      <c r="E70" s="82"/>
      <c r="F70" s="24"/>
      <c r="G70" s="82"/>
      <c r="H70" s="82"/>
      <c r="I70" s="82"/>
      <c r="J70" s="6"/>
      <c r="K70" s="82"/>
      <c r="L70" s="82"/>
      <c r="M70" s="82"/>
      <c r="N70" s="25"/>
      <c r="O70" s="86"/>
      <c r="P70" s="26"/>
      <c r="Q70" s="82"/>
      <c r="R70" s="82"/>
      <c r="S70" s="82"/>
      <c r="T70" s="24"/>
      <c r="U70" s="82"/>
      <c r="V70" s="82"/>
      <c r="W70" s="82"/>
      <c r="X70" s="6"/>
      <c r="Y70" s="82"/>
      <c r="Z70" s="82"/>
      <c r="AA70" s="82"/>
      <c r="AB70" s="25"/>
      <c r="AC70" s="86"/>
      <c r="AD70" s="26"/>
      <c r="AE70" s="82"/>
      <c r="AF70" s="82"/>
      <c r="AG70" s="82"/>
      <c r="AH70" s="24"/>
      <c r="AI70" s="82"/>
      <c r="AJ70" s="82"/>
      <c r="AK70" s="82"/>
      <c r="AL70" s="6"/>
      <c r="AM70" s="82"/>
      <c r="AN70" s="82"/>
      <c r="AO70" s="82"/>
      <c r="AP70" s="25"/>
      <c r="AQ70" s="86"/>
      <c r="AR70" s="26"/>
      <c r="AS70" s="82"/>
      <c r="AT70" s="82"/>
      <c r="AU70" s="82"/>
      <c r="AV70" s="24"/>
      <c r="AW70" s="82"/>
      <c r="AX70" s="82"/>
      <c r="AY70" s="82"/>
      <c r="AZ70" s="6"/>
      <c r="BA70" s="82"/>
      <c r="BB70" s="82"/>
      <c r="BC70" s="82"/>
      <c r="BD70" s="25"/>
      <c r="BE70" s="86"/>
      <c r="BF70" s="26"/>
      <c r="BG70" s="82"/>
      <c r="BH70" s="82"/>
      <c r="BI70" s="82"/>
      <c r="BJ70" s="24"/>
      <c r="BK70" s="82"/>
      <c r="BL70" s="82"/>
      <c r="BM70" s="82"/>
      <c r="BN70" s="6"/>
      <c r="BO70" s="82"/>
      <c r="BP70" s="82"/>
      <c r="BQ70" s="82"/>
      <c r="BR70" s="25"/>
      <c r="BS70" s="86"/>
      <c r="BT70" s="26"/>
      <c r="BU70" s="82"/>
      <c r="BV70" s="82"/>
      <c r="BW70" s="82"/>
      <c r="BX70" s="24"/>
      <c r="BY70" s="82"/>
      <c r="BZ70" s="82"/>
      <c r="CA70" s="82"/>
      <c r="CB70" s="6"/>
      <c r="CC70" s="82"/>
      <c r="CD70" s="82"/>
      <c r="CE70" s="82"/>
      <c r="CF70" s="25"/>
      <c r="CG70" s="86"/>
      <c r="CH70" s="26"/>
      <c r="CI70" s="82"/>
      <c r="CJ70" s="82"/>
      <c r="CK70" s="82"/>
      <c r="CL70" s="24"/>
      <c r="CM70" s="82"/>
      <c r="CN70" s="82"/>
      <c r="CO70" s="82"/>
      <c r="CP70" s="6"/>
      <c r="CQ70" s="82"/>
      <c r="CR70" s="82"/>
      <c r="CS70" s="82"/>
      <c r="CT70" s="25"/>
      <c r="CU70" s="86"/>
      <c r="CV70" s="26"/>
      <c r="CW70" s="82"/>
      <c r="CX70" s="82"/>
      <c r="CY70" s="82"/>
      <c r="CZ70" s="24"/>
      <c r="DA70" s="82"/>
      <c r="DB70" s="82"/>
      <c r="DC70" s="82"/>
      <c r="DD70" s="6"/>
      <c r="DE70" s="82"/>
      <c r="DF70" s="82"/>
      <c r="DG70" s="82"/>
      <c r="DH70" s="25"/>
      <c r="DI70" s="86"/>
      <c r="DJ70" s="26"/>
      <c r="DK70" s="82"/>
      <c r="DL70" s="82"/>
      <c r="DM70" s="82"/>
      <c r="DN70" s="24"/>
      <c r="DO70" s="82"/>
      <c r="DP70" s="82"/>
      <c r="DQ70" s="82"/>
      <c r="DR70" s="6"/>
      <c r="DS70" s="82"/>
      <c r="DT70" s="82"/>
      <c r="DU70" s="82"/>
      <c r="DV70" s="25"/>
      <c r="DW70" s="86"/>
      <c r="DX70" s="26"/>
      <c r="DY70" s="82"/>
      <c r="DZ70" s="82"/>
      <c r="EA70" s="82"/>
      <c r="EB70" s="24"/>
      <c r="EC70" s="82"/>
      <c r="ED70" s="82"/>
      <c r="EE70" s="82"/>
      <c r="EF70" s="6"/>
      <c r="EG70" s="82"/>
      <c r="EH70" s="82"/>
      <c r="EI70" s="82"/>
      <c r="EJ70" s="25"/>
      <c r="EK70" s="86"/>
      <c r="EL70" s="26"/>
      <c r="EM70" s="82"/>
      <c r="EN70" s="82"/>
      <c r="EO70" s="82"/>
      <c r="EP70" s="24"/>
      <c r="EQ70" s="82"/>
      <c r="ER70" s="82"/>
      <c r="ES70" s="82"/>
      <c r="ET70" s="6"/>
      <c r="EU70" s="82"/>
      <c r="EV70" s="82"/>
      <c r="EW70" s="82"/>
      <c r="EX70" s="25"/>
      <c r="EY70" s="86"/>
      <c r="EZ70" s="26"/>
      <c r="FA70" s="82"/>
      <c r="FB70" s="82"/>
      <c r="FC70" s="82"/>
      <c r="FD70" s="24"/>
      <c r="FE70" s="82"/>
      <c r="FF70" s="82"/>
      <c r="FG70" s="82"/>
      <c r="FH70" s="6"/>
      <c r="FI70" s="82"/>
      <c r="FJ70" s="82"/>
      <c r="FK70" s="82"/>
      <c r="FL70" s="25"/>
      <c r="FM70" s="86"/>
    </row>
    <row r="71" spans="1:172" ht="20.25" customHeight="1">
      <c r="A71" s="86"/>
      <c r="O71" s="86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C71" s="86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86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86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86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86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86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86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86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86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86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86"/>
    </row>
    <row r="72" spans="1:172" ht="21" customHeight="1">
      <c r="A72" s="86"/>
      <c r="C72" s="70" t="s">
        <v>11</v>
      </c>
      <c r="D72" s="59"/>
      <c r="E72" s="59"/>
      <c r="F72" s="36"/>
      <c r="G72" s="70" t="s">
        <v>41</v>
      </c>
      <c r="H72" s="59"/>
      <c r="I72" s="59"/>
      <c r="J72" s="36"/>
      <c r="K72" s="90" t="s">
        <v>29</v>
      </c>
      <c r="L72" s="91"/>
      <c r="M72" s="92"/>
      <c r="N72" s="27"/>
      <c r="O72" s="86"/>
      <c r="Q72" s="70" t="s">
        <v>11</v>
      </c>
      <c r="R72" s="59"/>
      <c r="S72" s="59"/>
      <c r="T72" s="36"/>
      <c r="U72" s="70" t="s">
        <v>41</v>
      </c>
      <c r="V72" s="59"/>
      <c r="W72" s="59"/>
      <c r="X72" s="36"/>
      <c r="Y72" s="90" t="s">
        <v>29</v>
      </c>
      <c r="Z72" s="91"/>
      <c r="AA72" s="92"/>
      <c r="AB72" s="27"/>
      <c r="AC72" s="86"/>
      <c r="AD72" s="35"/>
      <c r="AE72" s="70" t="s">
        <v>11</v>
      </c>
      <c r="AF72" s="59"/>
      <c r="AG72" s="59"/>
      <c r="AH72" s="36"/>
      <c r="AI72" s="70" t="s">
        <v>41</v>
      </c>
      <c r="AJ72" s="59"/>
      <c r="AK72" s="59"/>
      <c r="AL72" s="36"/>
      <c r="AM72" s="90" t="s">
        <v>29</v>
      </c>
      <c r="AN72" s="91"/>
      <c r="AO72" s="92"/>
      <c r="AP72" s="27"/>
      <c r="AQ72" s="86"/>
      <c r="AR72" s="35"/>
      <c r="AS72" s="70" t="s">
        <v>11</v>
      </c>
      <c r="AT72" s="59"/>
      <c r="AU72" s="59"/>
      <c r="AV72" s="36"/>
      <c r="AW72" s="70" t="s">
        <v>41</v>
      </c>
      <c r="AX72" s="59"/>
      <c r="AY72" s="59"/>
      <c r="AZ72" s="36"/>
      <c r="BA72" s="90" t="s">
        <v>29</v>
      </c>
      <c r="BB72" s="91"/>
      <c r="BC72" s="92"/>
      <c r="BD72" s="27"/>
      <c r="BE72" s="86"/>
      <c r="BF72" s="35"/>
      <c r="BG72" s="70" t="s">
        <v>11</v>
      </c>
      <c r="BH72" s="59"/>
      <c r="BI72" s="59"/>
      <c r="BJ72" s="36"/>
      <c r="BK72" s="70" t="s">
        <v>41</v>
      </c>
      <c r="BL72" s="59"/>
      <c r="BM72" s="59"/>
      <c r="BN72" s="36"/>
      <c r="BO72" s="90" t="s">
        <v>29</v>
      </c>
      <c r="BP72" s="91"/>
      <c r="BQ72" s="92"/>
      <c r="BR72" s="27"/>
      <c r="BS72" s="86"/>
      <c r="BT72" s="35"/>
      <c r="BU72" s="70" t="s">
        <v>11</v>
      </c>
      <c r="BV72" s="59"/>
      <c r="BW72" s="59"/>
      <c r="BX72" s="36"/>
      <c r="BY72" s="70" t="s">
        <v>41</v>
      </c>
      <c r="BZ72" s="59"/>
      <c r="CA72" s="59"/>
      <c r="CB72" s="36"/>
      <c r="CC72" s="90" t="s">
        <v>29</v>
      </c>
      <c r="CD72" s="91"/>
      <c r="CE72" s="92"/>
      <c r="CF72" s="27"/>
      <c r="CG72" s="86"/>
      <c r="CH72" s="35"/>
      <c r="CI72" s="70" t="s">
        <v>11</v>
      </c>
      <c r="CJ72" s="59"/>
      <c r="CK72" s="59"/>
      <c r="CL72" s="36"/>
      <c r="CM72" s="70" t="s">
        <v>41</v>
      </c>
      <c r="CN72" s="59"/>
      <c r="CO72" s="59"/>
      <c r="CP72" s="36"/>
      <c r="CQ72" s="90" t="s">
        <v>29</v>
      </c>
      <c r="CR72" s="91"/>
      <c r="CS72" s="92"/>
      <c r="CT72" s="27"/>
      <c r="CU72" s="86"/>
      <c r="CV72" s="35"/>
      <c r="CW72" s="70" t="s">
        <v>11</v>
      </c>
      <c r="CX72" s="59"/>
      <c r="CY72" s="59"/>
      <c r="CZ72" s="36"/>
      <c r="DA72" s="70" t="s">
        <v>41</v>
      </c>
      <c r="DB72" s="59"/>
      <c r="DC72" s="59"/>
      <c r="DD72" s="36"/>
      <c r="DE72" s="90" t="s">
        <v>29</v>
      </c>
      <c r="DF72" s="91"/>
      <c r="DG72" s="92"/>
      <c r="DH72" s="27"/>
      <c r="DI72" s="86"/>
      <c r="DJ72" s="35"/>
      <c r="DK72" s="70" t="s">
        <v>11</v>
      </c>
      <c r="DL72" s="59"/>
      <c r="DM72" s="59"/>
      <c r="DN72" s="36"/>
      <c r="DO72" s="70" t="s">
        <v>41</v>
      </c>
      <c r="DP72" s="59"/>
      <c r="DQ72" s="59"/>
      <c r="DR72" s="36"/>
      <c r="DS72" s="90" t="s">
        <v>29</v>
      </c>
      <c r="DT72" s="91"/>
      <c r="DU72" s="92"/>
      <c r="DV72" s="27"/>
      <c r="DW72" s="86"/>
      <c r="DX72" s="35"/>
      <c r="DY72" s="70" t="s">
        <v>11</v>
      </c>
      <c r="DZ72" s="59"/>
      <c r="EA72" s="59"/>
      <c r="EB72" s="36"/>
      <c r="EC72" s="70" t="s">
        <v>41</v>
      </c>
      <c r="ED72" s="59"/>
      <c r="EE72" s="59"/>
      <c r="EF72" s="36"/>
      <c r="EG72" s="90" t="s">
        <v>29</v>
      </c>
      <c r="EH72" s="91"/>
      <c r="EI72" s="92"/>
      <c r="EJ72" s="27"/>
      <c r="EK72" s="86"/>
      <c r="EL72" s="35"/>
      <c r="EM72" s="70" t="s">
        <v>11</v>
      </c>
      <c r="EN72" s="59"/>
      <c r="EO72" s="59"/>
      <c r="EP72" s="36"/>
      <c r="EQ72" s="70" t="s">
        <v>41</v>
      </c>
      <c r="ER72" s="59"/>
      <c r="ES72" s="59"/>
      <c r="ET72" s="36"/>
      <c r="EU72" s="90" t="s">
        <v>29</v>
      </c>
      <c r="EV72" s="91"/>
      <c r="EW72" s="92"/>
      <c r="EX72" s="27"/>
      <c r="EY72" s="86"/>
      <c r="EZ72" s="35"/>
      <c r="FA72" s="70" t="s">
        <v>11</v>
      </c>
      <c r="FB72" s="59"/>
      <c r="FC72" s="59"/>
      <c r="FD72" s="36"/>
      <c r="FE72" s="70" t="s">
        <v>41</v>
      </c>
      <c r="FF72" s="59"/>
      <c r="FG72" s="59"/>
      <c r="FH72" s="36"/>
      <c r="FI72" s="90" t="s">
        <v>29</v>
      </c>
      <c r="FJ72" s="91"/>
      <c r="FK72" s="92"/>
      <c r="FL72" s="27"/>
      <c r="FM72" s="86"/>
    </row>
    <row r="73" spans="1:172" ht="21" customHeight="1">
      <c r="A73" s="86"/>
      <c r="C73" s="37" t="s">
        <v>4</v>
      </c>
      <c r="D73" s="38" t="s">
        <v>38</v>
      </c>
      <c r="E73" s="38" t="s">
        <v>39</v>
      </c>
      <c r="F73" s="36"/>
      <c r="G73" s="38" t="s">
        <v>4</v>
      </c>
      <c r="H73" s="38" t="s">
        <v>38</v>
      </c>
      <c r="I73" s="38" t="s">
        <v>39</v>
      </c>
      <c r="J73" s="36"/>
      <c r="K73" s="38" t="s">
        <v>4</v>
      </c>
      <c r="L73" s="38" t="s">
        <v>38</v>
      </c>
      <c r="M73" s="38" t="s">
        <v>39</v>
      </c>
      <c r="N73" s="29"/>
      <c r="O73" s="86"/>
      <c r="Q73" s="37" t="s">
        <v>4</v>
      </c>
      <c r="R73" s="38" t="s">
        <v>38</v>
      </c>
      <c r="S73" s="38" t="s">
        <v>39</v>
      </c>
      <c r="T73" s="36"/>
      <c r="U73" s="38" t="s">
        <v>4</v>
      </c>
      <c r="V73" s="38" t="s">
        <v>38</v>
      </c>
      <c r="W73" s="38" t="s">
        <v>39</v>
      </c>
      <c r="X73" s="36"/>
      <c r="Y73" s="38" t="s">
        <v>4</v>
      </c>
      <c r="Z73" s="38" t="s">
        <v>38</v>
      </c>
      <c r="AA73" s="38" t="s">
        <v>39</v>
      </c>
      <c r="AB73" s="29"/>
      <c r="AC73" s="86"/>
      <c r="AD73" s="35"/>
      <c r="AE73" s="37" t="s">
        <v>4</v>
      </c>
      <c r="AF73" s="38" t="s">
        <v>38</v>
      </c>
      <c r="AG73" s="38" t="s">
        <v>39</v>
      </c>
      <c r="AH73" s="36"/>
      <c r="AI73" s="38" t="s">
        <v>4</v>
      </c>
      <c r="AJ73" s="38" t="s">
        <v>38</v>
      </c>
      <c r="AK73" s="38" t="s">
        <v>39</v>
      </c>
      <c r="AL73" s="36"/>
      <c r="AM73" s="38" t="s">
        <v>4</v>
      </c>
      <c r="AN73" s="38" t="s">
        <v>38</v>
      </c>
      <c r="AO73" s="38" t="s">
        <v>39</v>
      </c>
      <c r="AP73" s="29"/>
      <c r="AQ73" s="86"/>
      <c r="AR73" s="35"/>
      <c r="AS73" s="37" t="s">
        <v>4</v>
      </c>
      <c r="AT73" s="38" t="s">
        <v>38</v>
      </c>
      <c r="AU73" s="38" t="s">
        <v>39</v>
      </c>
      <c r="AV73" s="36"/>
      <c r="AW73" s="38" t="s">
        <v>4</v>
      </c>
      <c r="AX73" s="38" t="s">
        <v>38</v>
      </c>
      <c r="AY73" s="38" t="s">
        <v>39</v>
      </c>
      <c r="AZ73" s="36"/>
      <c r="BA73" s="38" t="s">
        <v>4</v>
      </c>
      <c r="BB73" s="38" t="s">
        <v>38</v>
      </c>
      <c r="BC73" s="38" t="s">
        <v>39</v>
      </c>
      <c r="BD73" s="29"/>
      <c r="BE73" s="86"/>
      <c r="BF73" s="35"/>
      <c r="BG73" s="37" t="s">
        <v>4</v>
      </c>
      <c r="BH73" s="38" t="s">
        <v>38</v>
      </c>
      <c r="BI73" s="38" t="s">
        <v>39</v>
      </c>
      <c r="BJ73" s="36"/>
      <c r="BK73" s="38" t="s">
        <v>4</v>
      </c>
      <c r="BL73" s="38" t="s">
        <v>38</v>
      </c>
      <c r="BM73" s="38" t="s">
        <v>39</v>
      </c>
      <c r="BN73" s="36"/>
      <c r="BO73" s="38" t="s">
        <v>4</v>
      </c>
      <c r="BP73" s="38" t="s">
        <v>38</v>
      </c>
      <c r="BQ73" s="38" t="s">
        <v>39</v>
      </c>
      <c r="BR73" s="29"/>
      <c r="BS73" s="86"/>
      <c r="BT73" s="35"/>
      <c r="BU73" s="37" t="s">
        <v>4</v>
      </c>
      <c r="BV73" s="38" t="s">
        <v>38</v>
      </c>
      <c r="BW73" s="38" t="s">
        <v>39</v>
      </c>
      <c r="BX73" s="36"/>
      <c r="BY73" s="38" t="s">
        <v>4</v>
      </c>
      <c r="BZ73" s="38" t="s">
        <v>38</v>
      </c>
      <c r="CA73" s="38" t="s">
        <v>39</v>
      </c>
      <c r="CB73" s="36"/>
      <c r="CC73" s="38" t="s">
        <v>4</v>
      </c>
      <c r="CD73" s="38" t="s">
        <v>38</v>
      </c>
      <c r="CE73" s="38" t="s">
        <v>39</v>
      </c>
      <c r="CF73" s="29"/>
      <c r="CG73" s="86"/>
      <c r="CH73" s="35"/>
      <c r="CI73" s="37" t="s">
        <v>4</v>
      </c>
      <c r="CJ73" s="38" t="s">
        <v>38</v>
      </c>
      <c r="CK73" s="38" t="s">
        <v>39</v>
      </c>
      <c r="CL73" s="36"/>
      <c r="CM73" s="38" t="s">
        <v>4</v>
      </c>
      <c r="CN73" s="38" t="s">
        <v>38</v>
      </c>
      <c r="CO73" s="38" t="s">
        <v>39</v>
      </c>
      <c r="CP73" s="36"/>
      <c r="CQ73" s="38" t="s">
        <v>4</v>
      </c>
      <c r="CR73" s="38" t="s">
        <v>38</v>
      </c>
      <c r="CS73" s="38" t="s">
        <v>39</v>
      </c>
      <c r="CT73" s="29"/>
      <c r="CU73" s="86"/>
      <c r="CV73" s="35"/>
      <c r="CW73" s="37" t="s">
        <v>4</v>
      </c>
      <c r="CX73" s="38" t="s">
        <v>38</v>
      </c>
      <c r="CY73" s="38" t="s">
        <v>39</v>
      </c>
      <c r="CZ73" s="36"/>
      <c r="DA73" s="38" t="s">
        <v>4</v>
      </c>
      <c r="DB73" s="38" t="s">
        <v>38</v>
      </c>
      <c r="DC73" s="38" t="s">
        <v>39</v>
      </c>
      <c r="DD73" s="36"/>
      <c r="DE73" s="38" t="s">
        <v>4</v>
      </c>
      <c r="DF73" s="38" t="s">
        <v>38</v>
      </c>
      <c r="DG73" s="38" t="s">
        <v>39</v>
      </c>
      <c r="DH73" s="29"/>
      <c r="DI73" s="86"/>
      <c r="DJ73" s="35"/>
      <c r="DK73" s="37" t="s">
        <v>4</v>
      </c>
      <c r="DL73" s="38" t="s">
        <v>38</v>
      </c>
      <c r="DM73" s="38" t="s">
        <v>39</v>
      </c>
      <c r="DN73" s="36"/>
      <c r="DO73" s="38" t="s">
        <v>4</v>
      </c>
      <c r="DP73" s="38" t="s">
        <v>38</v>
      </c>
      <c r="DQ73" s="38" t="s">
        <v>39</v>
      </c>
      <c r="DR73" s="36"/>
      <c r="DS73" s="38" t="s">
        <v>4</v>
      </c>
      <c r="DT73" s="38" t="s">
        <v>38</v>
      </c>
      <c r="DU73" s="38" t="s">
        <v>39</v>
      </c>
      <c r="DV73" s="29"/>
      <c r="DW73" s="86"/>
      <c r="DX73" s="35"/>
      <c r="DY73" s="37" t="s">
        <v>4</v>
      </c>
      <c r="DZ73" s="38" t="s">
        <v>38</v>
      </c>
      <c r="EA73" s="38" t="s">
        <v>39</v>
      </c>
      <c r="EB73" s="36"/>
      <c r="EC73" s="38" t="s">
        <v>4</v>
      </c>
      <c r="ED73" s="38" t="s">
        <v>38</v>
      </c>
      <c r="EE73" s="38" t="s">
        <v>39</v>
      </c>
      <c r="EF73" s="36"/>
      <c r="EG73" s="38" t="s">
        <v>4</v>
      </c>
      <c r="EH73" s="38" t="s">
        <v>38</v>
      </c>
      <c r="EI73" s="38" t="s">
        <v>39</v>
      </c>
      <c r="EJ73" s="29"/>
      <c r="EK73" s="86"/>
      <c r="EL73" s="35"/>
      <c r="EM73" s="37" t="s">
        <v>4</v>
      </c>
      <c r="EN73" s="38" t="s">
        <v>38</v>
      </c>
      <c r="EO73" s="38" t="s">
        <v>39</v>
      </c>
      <c r="EP73" s="36"/>
      <c r="EQ73" s="38" t="s">
        <v>4</v>
      </c>
      <c r="ER73" s="38" t="s">
        <v>38</v>
      </c>
      <c r="ES73" s="38" t="s">
        <v>39</v>
      </c>
      <c r="ET73" s="36"/>
      <c r="EU73" s="38" t="s">
        <v>4</v>
      </c>
      <c r="EV73" s="38" t="s">
        <v>38</v>
      </c>
      <c r="EW73" s="38" t="s">
        <v>39</v>
      </c>
      <c r="EX73" s="29"/>
      <c r="EY73" s="86"/>
      <c r="EZ73" s="35"/>
      <c r="FA73" s="37" t="s">
        <v>4</v>
      </c>
      <c r="FB73" s="38" t="s">
        <v>38</v>
      </c>
      <c r="FC73" s="38" t="s">
        <v>39</v>
      </c>
      <c r="FD73" s="36"/>
      <c r="FE73" s="38" t="s">
        <v>4</v>
      </c>
      <c r="FF73" s="38" t="s">
        <v>38</v>
      </c>
      <c r="FG73" s="38" t="s">
        <v>39</v>
      </c>
      <c r="FH73" s="36"/>
      <c r="FI73" s="38" t="s">
        <v>4</v>
      </c>
      <c r="FJ73" s="38" t="s">
        <v>38</v>
      </c>
      <c r="FK73" s="38" t="s">
        <v>39</v>
      </c>
      <c r="FL73" s="29"/>
      <c r="FM73" s="86"/>
    </row>
    <row r="74" spans="1:172" ht="15.75" customHeight="1">
      <c r="A74" s="86"/>
      <c r="B74" s="30"/>
      <c r="C74" s="45">
        <f ca="1">ROUNDUP(INDIRECT("I" &amp; (25+C$67))*$F$15/2.5, 0)*2.5</f>
        <v>0</v>
      </c>
      <c r="D74" s="38">
        <v>1</v>
      </c>
      <c r="E74" s="38"/>
      <c r="F74" s="36"/>
      <c r="G74" s="45">
        <f ca="1">ROUNDUP(INDIRECT("I" &amp; (25+C$67))*$F$31/2.5, 0)*2.5</f>
        <v>0</v>
      </c>
      <c r="H74" s="38">
        <v>1</v>
      </c>
      <c r="I74" s="38"/>
      <c r="J74" s="36"/>
      <c r="K74" s="45">
        <f ca="1">ROUNDUP(INDIRECT("I" &amp; (25+C$67))*$F$45/2.5, 0)*2.5</f>
        <v>0</v>
      </c>
      <c r="L74" s="38">
        <v>1</v>
      </c>
      <c r="M74" s="38"/>
      <c r="N74" s="29"/>
      <c r="O74" s="86"/>
      <c r="Q74" s="45">
        <f ca="1">ROUNDUP(INDIRECT("I" &amp; (25+Q$67))*$F$15/2.5, 0)*2.5</f>
        <v>0</v>
      </c>
      <c r="R74" s="38">
        <v>1</v>
      </c>
      <c r="S74" s="38"/>
      <c r="T74" s="36"/>
      <c r="U74" s="45">
        <f ca="1">ROUNDUP(INDIRECT("I" &amp; (25+Q$67))*$F$31/2.5, 0)*2.5</f>
        <v>0</v>
      </c>
      <c r="V74" s="38">
        <v>1</v>
      </c>
      <c r="W74" s="38"/>
      <c r="X74" s="36"/>
      <c r="Y74" s="45">
        <f ca="1">ROUNDUP(INDIRECT("I" &amp; (25+Q$67))*$F$45/2.5, 0)*2.5</f>
        <v>0</v>
      </c>
      <c r="Z74" s="38">
        <v>1</v>
      </c>
      <c r="AA74" s="38"/>
      <c r="AB74" s="29"/>
      <c r="AC74" s="86"/>
      <c r="AD74" s="35"/>
      <c r="AE74" s="45">
        <f ca="1">ROUNDUP(INDIRECT("I" &amp; (25+AE$67))*$F$15/2.5, 0)*2.5</f>
        <v>0</v>
      </c>
      <c r="AF74" s="38">
        <v>1</v>
      </c>
      <c r="AG74" s="38"/>
      <c r="AH74" s="36"/>
      <c r="AI74" s="45">
        <f ca="1">ROUNDUP(INDIRECT("I" &amp; (25+AE$67))*$F$31/2.5, 0)*2.5</f>
        <v>0</v>
      </c>
      <c r="AJ74" s="38">
        <v>1</v>
      </c>
      <c r="AK74" s="38"/>
      <c r="AL74" s="36"/>
      <c r="AM74" s="45">
        <f ca="1">ROUNDUP(INDIRECT("I" &amp; (25+AE$67))*$F$45/2.5, 0)*2.5</f>
        <v>0</v>
      </c>
      <c r="AN74" s="38">
        <v>1</v>
      </c>
      <c r="AO74" s="38"/>
      <c r="AP74" s="29"/>
      <c r="AQ74" s="86"/>
      <c r="AR74" s="35"/>
      <c r="AS74" s="45">
        <f ca="1">ROUNDUP(INDIRECT("I" &amp; (25+AS$67))*$F$15/2.5, 0)*2.5</f>
        <v>0</v>
      </c>
      <c r="AT74" s="38">
        <v>1</v>
      </c>
      <c r="AU74" s="38"/>
      <c r="AV74" s="36"/>
      <c r="AW74" s="45">
        <f ca="1">ROUNDUP(INDIRECT("I" &amp; (25+AS$67))*$F$31/2.5, 0)*2.5</f>
        <v>0</v>
      </c>
      <c r="AX74" s="38">
        <v>1</v>
      </c>
      <c r="AY74" s="38"/>
      <c r="AZ74" s="36"/>
      <c r="BA74" s="45">
        <f ca="1">ROUNDUP(INDIRECT("I" &amp; (25+AS$67))*$F$45/2.5, 0)*2.5</f>
        <v>0</v>
      </c>
      <c r="BB74" s="38">
        <v>1</v>
      </c>
      <c r="BC74" s="38"/>
      <c r="BD74" s="29"/>
      <c r="BE74" s="86"/>
      <c r="BF74" s="35"/>
      <c r="BG74" s="45">
        <f ca="1">ROUNDUP(INDIRECT("I" &amp; (25+BG$67))*$F$15/2.5, 0)*2.5</f>
        <v>0</v>
      </c>
      <c r="BH74" s="38">
        <v>1</v>
      </c>
      <c r="BI74" s="38"/>
      <c r="BJ74" s="36"/>
      <c r="BK74" s="45">
        <f ca="1">ROUNDUP(INDIRECT("I" &amp; (25+BG$67))*$F$31/2.5, 0)*2.5</f>
        <v>0</v>
      </c>
      <c r="BL74" s="38">
        <v>1</v>
      </c>
      <c r="BM74" s="38"/>
      <c r="BN74" s="36"/>
      <c r="BO74" s="45">
        <f ca="1">ROUNDUP(INDIRECT("I" &amp; (25+BG$67))*$F$45/2.5, 0)*2.5</f>
        <v>0</v>
      </c>
      <c r="BP74" s="38">
        <v>1</v>
      </c>
      <c r="BQ74" s="38"/>
      <c r="BR74" s="29"/>
      <c r="BS74" s="86"/>
      <c r="BT74" s="35"/>
      <c r="BU74" s="45">
        <f ca="1">ROUNDUP(INDIRECT("I" &amp; (25+BU$67))*$F$15/2.5, 0)*2.5</f>
        <v>0</v>
      </c>
      <c r="BV74" s="38">
        <v>1</v>
      </c>
      <c r="BW74" s="38"/>
      <c r="BX74" s="36"/>
      <c r="BY74" s="45">
        <f ca="1">ROUNDUP(INDIRECT("I" &amp; (25+BU$67))*$F$31/2.5, 0)*2.5</f>
        <v>0</v>
      </c>
      <c r="BZ74" s="38">
        <v>1</v>
      </c>
      <c r="CA74" s="38"/>
      <c r="CB74" s="36"/>
      <c r="CC74" s="45">
        <f ca="1">ROUNDUP(INDIRECT("I" &amp; (25+BU$67))*$F$45/2.5, 0)*2.5</f>
        <v>0</v>
      </c>
      <c r="CD74" s="38">
        <v>1</v>
      </c>
      <c r="CE74" s="38"/>
      <c r="CF74" s="29"/>
      <c r="CG74" s="86"/>
      <c r="CH74" s="35"/>
      <c r="CI74" s="45">
        <f ca="1">ROUNDUP(INDIRECT("I" &amp; (25+CI$67))*$F$15/2.5, 0)*2.5</f>
        <v>0</v>
      </c>
      <c r="CJ74" s="38">
        <v>1</v>
      </c>
      <c r="CK74" s="38"/>
      <c r="CL74" s="36"/>
      <c r="CM74" s="45">
        <f ca="1">ROUNDUP(INDIRECT("I" &amp; (25+CI$67))*$F$31/2.5, 0)*2.5</f>
        <v>0</v>
      </c>
      <c r="CN74" s="38">
        <v>1</v>
      </c>
      <c r="CO74" s="38"/>
      <c r="CP74" s="36"/>
      <c r="CQ74" s="45">
        <f ca="1">ROUNDUP(INDIRECT("I" &amp; (25+CI$67))*$F$45/2.5, 0)*2.5</f>
        <v>0</v>
      </c>
      <c r="CR74" s="38">
        <v>1</v>
      </c>
      <c r="CS74" s="38"/>
      <c r="CT74" s="29"/>
      <c r="CU74" s="86"/>
      <c r="CV74" s="35"/>
      <c r="CW74" s="45">
        <f ca="1">ROUNDUP(INDIRECT("I" &amp; (25+CW$67))*$F$15/2.5, 0)*2.5</f>
        <v>0</v>
      </c>
      <c r="CX74" s="38">
        <v>1</v>
      </c>
      <c r="CY74" s="38"/>
      <c r="CZ74" s="36"/>
      <c r="DA74" s="45">
        <f ca="1">ROUNDUP(INDIRECT("I" &amp; (25+CW$67))*$F$31/2.5, 0)*2.5</f>
        <v>0</v>
      </c>
      <c r="DB74" s="38">
        <v>1</v>
      </c>
      <c r="DC74" s="38"/>
      <c r="DD74" s="36"/>
      <c r="DE74" s="45">
        <f ca="1">ROUNDUP(INDIRECT("I" &amp; (25+CW$67))*$F$45/2.5, 0)*2.5</f>
        <v>0</v>
      </c>
      <c r="DF74" s="38">
        <v>1</v>
      </c>
      <c r="DG74" s="38"/>
      <c r="DH74" s="29"/>
      <c r="DI74" s="86"/>
      <c r="DJ74" s="35"/>
      <c r="DK74" s="45">
        <f ca="1">ROUNDUP(INDIRECT("I" &amp; (25+DK$67))*$F$15/2.5, 0)*2.5</f>
        <v>0</v>
      </c>
      <c r="DL74" s="38">
        <v>1</v>
      </c>
      <c r="DM74" s="38"/>
      <c r="DN74" s="36"/>
      <c r="DO74" s="45">
        <f ca="1">ROUNDUP(INDIRECT("I" &amp; (25+DK$67))*$F$31/2.5, 0)*2.5</f>
        <v>0</v>
      </c>
      <c r="DP74" s="38">
        <v>1</v>
      </c>
      <c r="DQ74" s="38"/>
      <c r="DR74" s="36"/>
      <c r="DS74" s="45">
        <f ca="1">ROUNDUP(INDIRECT("I" &amp; (25+DK$67))*$F$45/2.5, 0)*2.5</f>
        <v>0</v>
      </c>
      <c r="DT74" s="38">
        <v>1</v>
      </c>
      <c r="DU74" s="38"/>
      <c r="DV74" s="29"/>
      <c r="DW74" s="86"/>
      <c r="DX74" s="35"/>
      <c r="DY74" s="45">
        <f ca="1">ROUNDUP(INDIRECT("I" &amp; (25+DY$67))*$F$15/2.5, 0)*2.5</f>
        <v>0</v>
      </c>
      <c r="DZ74" s="38">
        <v>1</v>
      </c>
      <c r="EA74" s="38"/>
      <c r="EB74" s="36"/>
      <c r="EC74" s="45">
        <f ca="1">ROUNDUP(INDIRECT("I" &amp; (25+DY$67))*$F$31/2.5, 0)*2.5</f>
        <v>0</v>
      </c>
      <c r="ED74" s="38">
        <v>1</v>
      </c>
      <c r="EE74" s="38"/>
      <c r="EF74" s="36"/>
      <c r="EG74" s="45">
        <f ca="1">ROUNDUP(INDIRECT("I" &amp; (25+DY$67))*$F$45/2.5, 0)*2.5</f>
        <v>0</v>
      </c>
      <c r="EH74" s="38">
        <v>1</v>
      </c>
      <c r="EI74" s="38"/>
      <c r="EJ74" s="29"/>
      <c r="EK74" s="86"/>
      <c r="EL74" s="35"/>
      <c r="EM74" s="45">
        <f ca="1">ROUNDUP(INDIRECT("I" &amp; (25+EM$67))*$F$15/2.5, 0)*2.5</f>
        <v>0</v>
      </c>
      <c r="EN74" s="38">
        <v>1</v>
      </c>
      <c r="EO74" s="38"/>
      <c r="EP74" s="36"/>
      <c r="EQ74" s="45">
        <f ca="1">ROUNDUP(INDIRECT("I" &amp; (25+EM$67))*$F$31/2.5, 0)*2.5</f>
        <v>0</v>
      </c>
      <c r="ER74" s="38">
        <v>1</v>
      </c>
      <c r="ES74" s="38"/>
      <c r="ET74" s="36"/>
      <c r="EU74" s="45">
        <f ca="1">ROUNDUP(INDIRECT("I" &amp; (25+EM$67))*$F$45/2.5, 0)*2.5</f>
        <v>0</v>
      </c>
      <c r="EV74" s="38">
        <v>1</v>
      </c>
      <c r="EW74" s="38"/>
      <c r="EX74" s="29"/>
      <c r="EY74" s="86"/>
      <c r="EZ74" s="35"/>
      <c r="FA74" s="45">
        <f ca="1">ROUNDUP(INDIRECT("I" &amp; (25+FA$67))*$F$15/2.5, 0)*2.5</f>
        <v>0</v>
      </c>
      <c r="FB74" s="38">
        <v>1</v>
      </c>
      <c r="FC74" s="38"/>
      <c r="FD74" s="36"/>
      <c r="FE74" s="45">
        <f ca="1">ROUNDUP(INDIRECT("I" &amp; (25+FA$67))*$F$31/2.5, 0)*2.5</f>
        <v>0</v>
      </c>
      <c r="FF74" s="38">
        <v>1</v>
      </c>
      <c r="FG74" s="38"/>
      <c r="FH74" s="36"/>
      <c r="FI74" s="45">
        <f ca="1">ROUNDUP(INDIRECT("I" &amp; (25+FA$67))*$F$45/2.5, 0)*2.5</f>
        <v>0</v>
      </c>
      <c r="FJ74" s="38">
        <v>1</v>
      </c>
      <c r="FK74" s="38"/>
      <c r="FL74" s="29"/>
      <c r="FM74" s="86"/>
    </row>
    <row r="75" spans="1:172" ht="15.75" customHeight="1">
      <c r="A75" s="86"/>
      <c r="C75" s="45">
        <f ca="1">ROUNDUP(INDIRECT("I" &amp; (25+C$67))*$F$15/2.5, 0)*2.5</f>
        <v>0</v>
      </c>
      <c r="D75" s="36">
        <v>2</v>
      </c>
      <c r="E75" s="36"/>
      <c r="F75" s="36"/>
      <c r="G75" s="45">
        <f t="shared" ref="G75:G76" ca="1" si="3">ROUNDUP(INDIRECT("I" &amp; (25+C$67))*$F$31/2.5, 0)*2.5</f>
        <v>0</v>
      </c>
      <c r="H75" s="38">
        <v>2</v>
      </c>
      <c r="I75" s="38"/>
      <c r="J75" s="36"/>
      <c r="K75" s="45">
        <f t="shared" ref="K75:K76" ca="1" si="4">ROUNDUP(INDIRECT("I" &amp; (25+C$67))*$F$45/2.5, 0)*2.5</f>
        <v>0</v>
      </c>
      <c r="L75" s="38">
        <v>2</v>
      </c>
      <c r="M75" s="38"/>
      <c r="N75" s="29"/>
      <c r="O75" s="86"/>
      <c r="Q75" s="45">
        <f ca="1">ROUNDUP(INDIRECT("I" &amp; (25+Q$67))*$F$15/2.5, 0)*2.5</f>
        <v>0</v>
      </c>
      <c r="R75" s="36">
        <v>2</v>
      </c>
      <c r="S75" s="36"/>
      <c r="T75" s="36"/>
      <c r="U75" s="45">
        <f t="shared" ref="U75:U76" ca="1" si="5">ROUNDUP(INDIRECT("I" &amp; (25+Q$67))*$F$31/2.5, 0)*2.5</f>
        <v>0</v>
      </c>
      <c r="V75" s="38">
        <v>2</v>
      </c>
      <c r="W75" s="38"/>
      <c r="X75" s="36"/>
      <c r="Y75" s="45">
        <f t="shared" ref="Y75:Y76" ca="1" si="6">ROUNDUP(INDIRECT("I" &amp; (25+Q$67))*$F$45/2.5, 0)*2.5</f>
        <v>0</v>
      </c>
      <c r="Z75" s="38">
        <v>2</v>
      </c>
      <c r="AA75" s="38"/>
      <c r="AB75" s="29"/>
      <c r="AC75" s="86"/>
      <c r="AD75" s="35"/>
      <c r="AE75" s="45">
        <f ca="1">ROUNDUP(INDIRECT("I" &amp; (25+AE$67))*$F$15/2.5, 0)*2.5</f>
        <v>0</v>
      </c>
      <c r="AF75" s="36">
        <v>2</v>
      </c>
      <c r="AG75" s="36"/>
      <c r="AH75" s="36"/>
      <c r="AI75" s="45">
        <f t="shared" ref="AI75:AI76" ca="1" si="7">ROUNDUP(INDIRECT("I" &amp; (25+AE$67))*$F$31/2.5, 0)*2.5</f>
        <v>0</v>
      </c>
      <c r="AJ75" s="38">
        <v>2</v>
      </c>
      <c r="AK75" s="38"/>
      <c r="AL75" s="36"/>
      <c r="AM75" s="45">
        <f t="shared" ref="AM75:AM76" ca="1" si="8">ROUNDUP(INDIRECT("I" &amp; (25+AE$67))*$F$45/2.5, 0)*2.5</f>
        <v>0</v>
      </c>
      <c r="AN75" s="38">
        <v>2</v>
      </c>
      <c r="AO75" s="38"/>
      <c r="AP75" s="29"/>
      <c r="AQ75" s="86"/>
      <c r="AR75" s="35"/>
      <c r="AS75" s="45">
        <f ca="1">ROUNDUP(INDIRECT("I" &amp; (25+AS$67))*$F$15/2.5, 0)*2.5</f>
        <v>0</v>
      </c>
      <c r="AT75" s="36">
        <v>2</v>
      </c>
      <c r="AU75" s="36"/>
      <c r="AV75" s="36"/>
      <c r="AW75" s="45">
        <f t="shared" ref="AW75:AW76" ca="1" si="9">ROUNDUP(INDIRECT("I" &amp; (25+AS$67))*$F$31/2.5, 0)*2.5</f>
        <v>0</v>
      </c>
      <c r="AX75" s="38">
        <v>2</v>
      </c>
      <c r="AY75" s="38"/>
      <c r="AZ75" s="36"/>
      <c r="BA75" s="45">
        <f t="shared" ref="BA75:BA76" ca="1" si="10">ROUNDUP(INDIRECT("I" &amp; (25+AS$67))*$F$45/2.5, 0)*2.5</f>
        <v>0</v>
      </c>
      <c r="BB75" s="38">
        <v>2</v>
      </c>
      <c r="BC75" s="38"/>
      <c r="BD75" s="29"/>
      <c r="BE75" s="86"/>
      <c r="BF75" s="35"/>
      <c r="BG75" s="45">
        <f ca="1">ROUNDUP(INDIRECT("I" &amp; (25+BG$67))*$F$15/2.5, 0)*2.5</f>
        <v>0</v>
      </c>
      <c r="BH75" s="36">
        <v>2</v>
      </c>
      <c r="BI75" s="36"/>
      <c r="BJ75" s="36"/>
      <c r="BK75" s="45">
        <f t="shared" ref="BK75:BK76" ca="1" si="11">ROUNDUP(INDIRECT("I" &amp; (25+BG$67))*$F$31/2.5, 0)*2.5</f>
        <v>0</v>
      </c>
      <c r="BL75" s="38">
        <v>2</v>
      </c>
      <c r="BM75" s="38"/>
      <c r="BN75" s="36"/>
      <c r="BO75" s="45">
        <f t="shared" ref="BO75:BO76" ca="1" si="12">ROUNDUP(INDIRECT("I" &amp; (25+BG$67))*$F$45/2.5, 0)*2.5</f>
        <v>0</v>
      </c>
      <c r="BP75" s="38">
        <v>2</v>
      </c>
      <c r="BQ75" s="38"/>
      <c r="BR75" s="29"/>
      <c r="BS75" s="86"/>
      <c r="BT75" s="35"/>
      <c r="BU75" s="45">
        <f ca="1">ROUNDUP(INDIRECT("I" &amp; (25+BU$67))*$F$15/2.5, 0)*2.5</f>
        <v>0</v>
      </c>
      <c r="BV75" s="36">
        <v>2</v>
      </c>
      <c r="BW75" s="36"/>
      <c r="BX75" s="36"/>
      <c r="BY75" s="45">
        <f t="shared" ref="BY75:BY76" ca="1" si="13">ROUNDUP(INDIRECT("I" &amp; (25+BU$67))*$F$31/2.5, 0)*2.5</f>
        <v>0</v>
      </c>
      <c r="BZ75" s="38">
        <v>2</v>
      </c>
      <c r="CA75" s="38"/>
      <c r="CB75" s="36"/>
      <c r="CC75" s="45">
        <f t="shared" ref="CC75:CC76" ca="1" si="14">ROUNDUP(INDIRECT("I" &amp; (25+BU$67))*$F$45/2.5, 0)*2.5</f>
        <v>0</v>
      </c>
      <c r="CD75" s="38">
        <v>2</v>
      </c>
      <c r="CE75" s="38"/>
      <c r="CF75" s="29"/>
      <c r="CG75" s="86"/>
      <c r="CH75" s="35"/>
      <c r="CI75" s="45">
        <f ca="1">ROUNDUP(INDIRECT("I" &amp; (25+CI$67))*$F$15/2.5, 0)*2.5</f>
        <v>0</v>
      </c>
      <c r="CJ75" s="36">
        <v>2</v>
      </c>
      <c r="CK75" s="36"/>
      <c r="CL75" s="36"/>
      <c r="CM75" s="45">
        <f t="shared" ref="CM75:CM76" ca="1" si="15">ROUNDUP(INDIRECT("I" &amp; (25+CI$67))*$F$31/2.5, 0)*2.5</f>
        <v>0</v>
      </c>
      <c r="CN75" s="38">
        <v>2</v>
      </c>
      <c r="CO75" s="38"/>
      <c r="CP75" s="36"/>
      <c r="CQ75" s="45">
        <f t="shared" ref="CQ75:CQ76" ca="1" si="16">ROUNDUP(INDIRECT("I" &amp; (25+CI$67))*$F$45/2.5, 0)*2.5</f>
        <v>0</v>
      </c>
      <c r="CR75" s="38">
        <v>2</v>
      </c>
      <c r="CS75" s="38"/>
      <c r="CT75" s="29"/>
      <c r="CU75" s="86"/>
      <c r="CV75" s="35"/>
      <c r="CW75" s="45">
        <f ca="1">ROUNDUP(INDIRECT("I" &amp; (25+CW$67))*$F$15/2.5, 0)*2.5</f>
        <v>0</v>
      </c>
      <c r="CX75" s="36">
        <v>2</v>
      </c>
      <c r="CY75" s="36"/>
      <c r="CZ75" s="36"/>
      <c r="DA75" s="45">
        <f t="shared" ref="DA75:DA76" ca="1" si="17">ROUNDUP(INDIRECT("I" &amp; (25+CW$67))*$F$31/2.5, 0)*2.5</f>
        <v>0</v>
      </c>
      <c r="DB75" s="38">
        <v>2</v>
      </c>
      <c r="DC75" s="38"/>
      <c r="DD75" s="36"/>
      <c r="DE75" s="45">
        <f t="shared" ref="DE75:DE76" ca="1" si="18">ROUNDUP(INDIRECT("I" &amp; (25+CW$67))*$F$45/2.5, 0)*2.5</f>
        <v>0</v>
      </c>
      <c r="DF75" s="38">
        <v>2</v>
      </c>
      <c r="DG75" s="38"/>
      <c r="DH75" s="29"/>
      <c r="DI75" s="86"/>
      <c r="DJ75" s="35"/>
      <c r="DK75" s="45">
        <f ca="1">ROUNDUP(INDIRECT("I" &amp; (25+DK$67))*$F$15/2.5, 0)*2.5</f>
        <v>0</v>
      </c>
      <c r="DL75" s="36">
        <v>2</v>
      </c>
      <c r="DM75" s="36"/>
      <c r="DN75" s="36"/>
      <c r="DO75" s="45">
        <f t="shared" ref="DO75:DO76" ca="1" si="19">ROUNDUP(INDIRECT("I" &amp; (25+DK$67))*$F$31/2.5, 0)*2.5</f>
        <v>0</v>
      </c>
      <c r="DP75" s="38">
        <v>2</v>
      </c>
      <c r="DQ75" s="38"/>
      <c r="DR75" s="36"/>
      <c r="DS75" s="45">
        <f t="shared" ref="DS75:DS76" ca="1" si="20">ROUNDUP(INDIRECT("I" &amp; (25+DK$67))*$F$45/2.5, 0)*2.5</f>
        <v>0</v>
      </c>
      <c r="DT75" s="38">
        <v>2</v>
      </c>
      <c r="DU75" s="38"/>
      <c r="DV75" s="29"/>
      <c r="DW75" s="86"/>
      <c r="DX75" s="35"/>
      <c r="DY75" s="45">
        <f ca="1">ROUNDUP(INDIRECT("I" &amp; (25+DY$67))*$F$15/2.5, 0)*2.5</f>
        <v>0</v>
      </c>
      <c r="DZ75" s="36">
        <v>2</v>
      </c>
      <c r="EA75" s="36"/>
      <c r="EB75" s="36"/>
      <c r="EC75" s="45">
        <f t="shared" ref="EC75:EC76" ca="1" si="21">ROUNDUP(INDIRECT("I" &amp; (25+DY$67))*$F$31/2.5, 0)*2.5</f>
        <v>0</v>
      </c>
      <c r="ED75" s="38">
        <v>2</v>
      </c>
      <c r="EE75" s="38"/>
      <c r="EF75" s="36"/>
      <c r="EG75" s="45">
        <f t="shared" ref="EG75:EG76" ca="1" si="22">ROUNDUP(INDIRECT("I" &amp; (25+DY$67))*$F$45/2.5, 0)*2.5</f>
        <v>0</v>
      </c>
      <c r="EH75" s="38">
        <v>2</v>
      </c>
      <c r="EI75" s="38"/>
      <c r="EJ75" s="29"/>
      <c r="EK75" s="86"/>
      <c r="EL75" s="35"/>
      <c r="EM75" s="45">
        <f ca="1">ROUNDUP(INDIRECT("I" &amp; (25+EM$67))*$F$15/2.5, 0)*2.5</f>
        <v>0</v>
      </c>
      <c r="EN75" s="36">
        <v>2</v>
      </c>
      <c r="EO75" s="36"/>
      <c r="EP75" s="36"/>
      <c r="EQ75" s="45">
        <f t="shared" ref="EQ75:EQ76" ca="1" si="23">ROUNDUP(INDIRECT("I" &amp; (25+EM$67))*$F$31/2.5, 0)*2.5</f>
        <v>0</v>
      </c>
      <c r="ER75" s="38">
        <v>2</v>
      </c>
      <c r="ES75" s="38"/>
      <c r="ET75" s="36"/>
      <c r="EU75" s="45">
        <f t="shared" ref="EU75:EU76" ca="1" si="24">ROUNDUP(INDIRECT("I" &amp; (25+EM$67))*$F$45/2.5, 0)*2.5</f>
        <v>0</v>
      </c>
      <c r="EV75" s="38">
        <v>2</v>
      </c>
      <c r="EW75" s="38"/>
      <c r="EX75" s="29"/>
      <c r="EY75" s="86"/>
      <c r="EZ75" s="35"/>
      <c r="FA75" s="45">
        <f ca="1">ROUNDUP(INDIRECT("I" &amp; (25+FA$67))*$F$15/2.5, 0)*2.5</f>
        <v>0</v>
      </c>
      <c r="FB75" s="36">
        <v>2</v>
      </c>
      <c r="FC75" s="36"/>
      <c r="FD75" s="36"/>
      <c r="FE75" s="45">
        <f t="shared" ref="FE75:FE76" ca="1" si="25">ROUNDUP(INDIRECT("I" &amp; (25+FA$67))*$F$31/2.5, 0)*2.5</f>
        <v>0</v>
      </c>
      <c r="FF75" s="38">
        <v>2</v>
      </c>
      <c r="FG75" s="38"/>
      <c r="FH75" s="36"/>
      <c r="FI75" s="45">
        <f t="shared" ref="FI75:FI76" ca="1" si="26">ROUNDUP(INDIRECT("I" &amp; (25+FA$67))*$F$45/2.5, 0)*2.5</f>
        <v>0</v>
      </c>
      <c r="FJ75" s="38">
        <v>2</v>
      </c>
      <c r="FK75" s="38"/>
      <c r="FL75" s="29"/>
      <c r="FM75" s="86"/>
    </row>
    <row r="76" spans="1:172" ht="15.75" customHeight="1">
      <c r="A76" s="86"/>
      <c r="C76" s="39"/>
      <c r="D76" s="39"/>
      <c r="E76" s="39"/>
      <c r="F76" s="40"/>
      <c r="G76" s="45">
        <f t="shared" ca="1" si="3"/>
        <v>0</v>
      </c>
      <c r="H76" s="38">
        <v>3</v>
      </c>
      <c r="I76" s="38"/>
      <c r="J76" s="36"/>
      <c r="K76" s="45">
        <f t="shared" ca="1" si="4"/>
        <v>0</v>
      </c>
      <c r="L76" s="38">
        <v>3</v>
      </c>
      <c r="M76" s="38"/>
      <c r="N76" s="29"/>
      <c r="O76" s="86"/>
      <c r="Q76" s="39"/>
      <c r="R76" s="39"/>
      <c r="S76" s="39"/>
      <c r="T76" s="40"/>
      <c r="U76" s="45">
        <f t="shared" ca="1" si="5"/>
        <v>0</v>
      </c>
      <c r="V76" s="38">
        <v>3</v>
      </c>
      <c r="W76" s="38"/>
      <c r="X76" s="36"/>
      <c r="Y76" s="45">
        <f t="shared" ca="1" si="6"/>
        <v>0</v>
      </c>
      <c r="Z76" s="38">
        <v>3</v>
      </c>
      <c r="AA76" s="38"/>
      <c r="AB76" s="29"/>
      <c r="AC76" s="86"/>
      <c r="AD76" s="35"/>
      <c r="AE76" s="39"/>
      <c r="AF76" s="39"/>
      <c r="AG76" s="39"/>
      <c r="AH76" s="40"/>
      <c r="AI76" s="45">
        <f t="shared" ca="1" si="7"/>
        <v>0</v>
      </c>
      <c r="AJ76" s="38">
        <v>3</v>
      </c>
      <c r="AK76" s="38"/>
      <c r="AL76" s="36"/>
      <c r="AM76" s="45">
        <f t="shared" ca="1" si="8"/>
        <v>0</v>
      </c>
      <c r="AN76" s="38">
        <v>3</v>
      </c>
      <c r="AO76" s="38"/>
      <c r="AP76" s="29"/>
      <c r="AQ76" s="86"/>
      <c r="AR76" s="35"/>
      <c r="AS76" s="39"/>
      <c r="AT76" s="39"/>
      <c r="AU76" s="39"/>
      <c r="AV76" s="40"/>
      <c r="AW76" s="45">
        <f t="shared" ca="1" si="9"/>
        <v>0</v>
      </c>
      <c r="AX76" s="38">
        <v>3</v>
      </c>
      <c r="AY76" s="38"/>
      <c r="AZ76" s="36"/>
      <c r="BA76" s="45">
        <f t="shared" ca="1" si="10"/>
        <v>0</v>
      </c>
      <c r="BB76" s="38">
        <v>3</v>
      </c>
      <c r="BC76" s="38"/>
      <c r="BD76" s="29"/>
      <c r="BE76" s="86"/>
      <c r="BF76" s="35"/>
      <c r="BG76" s="39"/>
      <c r="BH76" s="39"/>
      <c r="BI76" s="39"/>
      <c r="BJ76" s="40"/>
      <c r="BK76" s="45">
        <f t="shared" ca="1" si="11"/>
        <v>0</v>
      </c>
      <c r="BL76" s="38">
        <v>3</v>
      </c>
      <c r="BM76" s="38"/>
      <c r="BN76" s="36"/>
      <c r="BO76" s="45">
        <f t="shared" ca="1" si="12"/>
        <v>0</v>
      </c>
      <c r="BP76" s="38">
        <v>3</v>
      </c>
      <c r="BQ76" s="38"/>
      <c r="BR76" s="29"/>
      <c r="BS76" s="86"/>
      <c r="BT76" s="35"/>
      <c r="BU76" s="39"/>
      <c r="BV76" s="39"/>
      <c r="BW76" s="39"/>
      <c r="BX76" s="40"/>
      <c r="BY76" s="45">
        <f t="shared" ca="1" si="13"/>
        <v>0</v>
      </c>
      <c r="BZ76" s="38">
        <v>3</v>
      </c>
      <c r="CA76" s="38"/>
      <c r="CB76" s="36"/>
      <c r="CC76" s="45">
        <f t="shared" ca="1" si="14"/>
        <v>0</v>
      </c>
      <c r="CD76" s="38">
        <v>3</v>
      </c>
      <c r="CE76" s="38"/>
      <c r="CF76" s="29"/>
      <c r="CG76" s="86"/>
      <c r="CH76" s="35"/>
      <c r="CI76" s="39"/>
      <c r="CJ76" s="39"/>
      <c r="CK76" s="39"/>
      <c r="CL76" s="40"/>
      <c r="CM76" s="45">
        <f t="shared" ca="1" si="15"/>
        <v>0</v>
      </c>
      <c r="CN76" s="38">
        <v>3</v>
      </c>
      <c r="CO76" s="38"/>
      <c r="CP76" s="36"/>
      <c r="CQ76" s="45">
        <f t="shared" ca="1" si="16"/>
        <v>0</v>
      </c>
      <c r="CR76" s="38">
        <v>3</v>
      </c>
      <c r="CS76" s="38"/>
      <c r="CT76" s="29"/>
      <c r="CU76" s="86"/>
      <c r="CV76" s="35"/>
      <c r="CW76" s="39"/>
      <c r="CX76" s="39"/>
      <c r="CY76" s="39"/>
      <c r="CZ76" s="40"/>
      <c r="DA76" s="45">
        <f t="shared" ca="1" si="17"/>
        <v>0</v>
      </c>
      <c r="DB76" s="38">
        <v>3</v>
      </c>
      <c r="DC76" s="38"/>
      <c r="DD76" s="36"/>
      <c r="DE76" s="45">
        <f t="shared" ca="1" si="18"/>
        <v>0</v>
      </c>
      <c r="DF76" s="38">
        <v>3</v>
      </c>
      <c r="DG76" s="38"/>
      <c r="DH76" s="29"/>
      <c r="DI76" s="86"/>
      <c r="DJ76" s="35"/>
      <c r="DK76" s="39"/>
      <c r="DL76" s="39"/>
      <c r="DM76" s="39"/>
      <c r="DN76" s="40"/>
      <c r="DO76" s="45">
        <f t="shared" ca="1" si="19"/>
        <v>0</v>
      </c>
      <c r="DP76" s="38">
        <v>3</v>
      </c>
      <c r="DQ76" s="38"/>
      <c r="DR76" s="36"/>
      <c r="DS76" s="45">
        <f t="shared" ca="1" si="20"/>
        <v>0</v>
      </c>
      <c r="DT76" s="38">
        <v>3</v>
      </c>
      <c r="DU76" s="38"/>
      <c r="DV76" s="29"/>
      <c r="DW76" s="86"/>
      <c r="DX76" s="35"/>
      <c r="DY76" s="39"/>
      <c r="DZ76" s="39"/>
      <c r="EA76" s="39"/>
      <c r="EB76" s="40"/>
      <c r="EC76" s="45">
        <f t="shared" ca="1" si="21"/>
        <v>0</v>
      </c>
      <c r="ED76" s="38">
        <v>3</v>
      </c>
      <c r="EE76" s="38"/>
      <c r="EF76" s="36"/>
      <c r="EG76" s="45">
        <f t="shared" ca="1" si="22"/>
        <v>0</v>
      </c>
      <c r="EH76" s="38">
        <v>3</v>
      </c>
      <c r="EI76" s="38"/>
      <c r="EJ76" s="29"/>
      <c r="EK76" s="86"/>
      <c r="EL76" s="35"/>
      <c r="EM76" s="39"/>
      <c r="EN76" s="39"/>
      <c r="EO76" s="39"/>
      <c r="EP76" s="40"/>
      <c r="EQ76" s="45">
        <f t="shared" ca="1" si="23"/>
        <v>0</v>
      </c>
      <c r="ER76" s="38">
        <v>3</v>
      </c>
      <c r="ES76" s="38"/>
      <c r="ET76" s="36"/>
      <c r="EU76" s="45">
        <f t="shared" ca="1" si="24"/>
        <v>0</v>
      </c>
      <c r="EV76" s="38">
        <v>3</v>
      </c>
      <c r="EW76" s="38"/>
      <c r="EX76" s="29"/>
      <c r="EY76" s="86"/>
      <c r="EZ76" s="35"/>
      <c r="FA76" s="39"/>
      <c r="FB76" s="39"/>
      <c r="FC76" s="39"/>
      <c r="FD76" s="40"/>
      <c r="FE76" s="45">
        <f t="shared" ca="1" si="25"/>
        <v>0</v>
      </c>
      <c r="FF76" s="38">
        <v>3</v>
      </c>
      <c r="FG76" s="38"/>
      <c r="FH76" s="36"/>
      <c r="FI76" s="45">
        <f t="shared" ca="1" si="26"/>
        <v>0</v>
      </c>
      <c r="FJ76" s="38">
        <v>3</v>
      </c>
      <c r="FK76" s="38"/>
      <c r="FL76" s="29"/>
      <c r="FM76" s="86"/>
    </row>
    <row r="77" spans="1:172" ht="15.75" customHeight="1">
      <c r="A77" s="86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29"/>
      <c r="O77" s="86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29"/>
      <c r="AC77" s="86"/>
      <c r="AD77" s="35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29"/>
      <c r="AQ77" s="86"/>
      <c r="AR77" s="35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29"/>
      <c r="BE77" s="86"/>
      <c r="BF77" s="35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29"/>
      <c r="BS77" s="86"/>
      <c r="BT77" s="35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29"/>
      <c r="CG77" s="86"/>
      <c r="CH77" s="35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29"/>
      <c r="CU77" s="86"/>
      <c r="CV77" s="35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29"/>
      <c r="DI77" s="86"/>
      <c r="DJ77" s="35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29"/>
      <c r="DW77" s="86"/>
      <c r="DX77" s="35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29"/>
      <c r="EK77" s="86"/>
      <c r="EL77" s="35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29"/>
      <c r="EY77" s="86"/>
      <c r="EZ77" s="35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29"/>
      <c r="FM77" s="86"/>
    </row>
    <row r="78" spans="1:172" ht="15.75" customHeight="1">
      <c r="A78" s="86"/>
      <c r="C78" s="70" t="s">
        <v>42</v>
      </c>
      <c r="D78" s="59"/>
      <c r="E78" s="59"/>
      <c r="F78" s="36"/>
      <c r="G78" s="80" t="s">
        <v>43</v>
      </c>
      <c r="H78" s="72"/>
      <c r="I78" s="73"/>
      <c r="J78" s="41"/>
      <c r="K78" s="71" t="s">
        <v>30</v>
      </c>
      <c r="L78" s="72"/>
      <c r="M78" s="73"/>
      <c r="N78" s="29"/>
      <c r="O78" s="86"/>
      <c r="Q78" s="70" t="s">
        <v>42</v>
      </c>
      <c r="R78" s="59"/>
      <c r="S78" s="59"/>
      <c r="T78" s="36"/>
      <c r="U78" s="80" t="s">
        <v>43</v>
      </c>
      <c r="V78" s="72"/>
      <c r="W78" s="73"/>
      <c r="X78" s="41"/>
      <c r="Y78" s="71" t="s">
        <v>30</v>
      </c>
      <c r="Z78" s="72"/>
      <c r="AA78" s="73"/>
      <c r="AB78" s="29"/>
      <c r="AC78" s="86"/>
      <c r="AD78" s="35"/>
      <c r="AE78" s="70" t="s">
        <v>42</v>
      </c>
      <c r="AF78" s="59"/>
      <c r="AG78" s="59"/>
      <c r="AH78" s="36"/>
      <c r="AI78" s="80" t="s">
        <v>43</v>
      </c>
      <c r="AJ78" s="72"/>
      <c r="AK78" s="73"/>
      <c r="AL78" s="41"/>
      <c r="AM78" s="71" t="s">
        <v>30</v>
      </c>
      <c r="AN78" s="72"/>
      <c r="AO78" s="73"/>
      <c r="AP78" s="29"/>
      <c r="AQ78" s="86"/>
      <c r="AR78" s="35"/>
      <c r="AS78" s="70" t="s">
        <v>42</v>
      </c>
      <c r="AT78" s="59"/>
      <c r="AU78" s="59"/>
      <c r="AV78" s="36"/>
      <c r="AW78" s="80" t="s">
        <v>43</v>
      </c>
      <c r="AX78" s="72"/>
      <c r="AY78" s="73"/>
      <c r="AZ78" s="41"/>
      <c r="BA78" s="71" t="s">
        <v>30</v>
      </c>
      <c r="BB78" s="72"/>
      <c r="BC78" s="73"/>
      <c r="BD78" s="29"/>
      <c r="BE78" s="86"/>
      <c r="BF78" s="35"/>
      <c r="BG78" s="70" t="s">
        <v>42</v>
      </c>
      <c r="BH78" s="59"/>
      <c r="BI78" s="59"/>
      <c r="BJ78" s="36"/>
      <c r="BK78" s="80" t="s">
        <v>43</v>
      </c>
      <c r="BL78" s="72"/>
      <c r="BM78" s="73"/>
      <c r="BN78" s="41"/>
      <c r="BO78" s="71" t="s">
        <v>30</v>
      </c>
      <c r="BP78" s="72"/>
      <c r="BQ78" s="73"/>
      <c r="BR78" s="29"/>
      <c r="BS78" s="86"/>
      <c r="BT78" s="35"/>
      <c r="BU78" s="70" t="s">
        <v>42</v>
      </c>
      <c r="BV78" s="59"/>
      <c r="BW78" s="59"/>
      <c r="BX78" s="36"/>
      <c r="BY78" s="80" t="s">
        <v>43</v>
      </c>
      <c r="BZ78" s="72"/>
      <c r="CA78" s="73"/>
      <c r="CB78" s="41"/>
      <c r="CC78" s="71" t="s">
        <v>30</v>
      </c>
      <c r="CD78" s="72"/>
      <c r="CE78" s="73"/>
      <c r="CF78" s="29"/>
      <c r="CG78" s="86"/>
      <c r="CH78" s="35"/>
      <c r="CI78" s="70" t="s">
        <v>42</v>
      </c>
      <c r="CJ78" s="59"/>
      <c r="CK78" s="59"/>
      <c r="CL78" s="36"/>
      <c r="CM78" s="80" t="s">
        <v>43</v>
      </c>
      <c r="CN78" s="72"/>
      <c r="CO78" s="73"/>
      <c r="CP78" s="41"/>
      <c r="CQ78" s="71" t="s">
        <v>30</v>
      </c>
      <c r="CR78" s="72"/>
      <c r="CS78" s="73"/>
      <c r="CT78" s="29"/>
      <c r="CU78" s="86"/>
      <c r="CV78" s="35"/>
      <c r="CW78" s="70" t="s">
        <v>42</v>
      </c>
      <c r="CX78" s="59"/>
      <c r="CY78" s="59"/>
      <c r="CZ78" s="36"/>
      <c r="DA78" s="80" t="s">
        <v>43</v>
      </c>
      <c r="DB78" s="72"/>
      <c r="DC78" s="73"/>
      <c r="DD78" s="41"/>
      <c r="DE78" s="71" t="s">
        <v>30</v>
      </c>
      <c r="DF78" s="72"/>
      <c r="DG78" s="73"/>
      <c r="DH78" s="29"/>
      <c r="DI78" s="86"/>
      <c r="DJ78" s="35"/>
      <c r="DK78" s="70" t="s">
        <v>42</v>
      </c>
      <c r="DL78" s="59"/>
      <c r="DM78" s="59"/>
      <c r="DN78" s="36"/>
      <c r="DO78" s="80" t="s">
        <v>43</v>
      </c>
      <c r="DP78" s="72"/>
      <c r="DQ78" s="73"/>
      <c r="DR78" s="41"/>
      <c r="DS78" s="71" t="s">
        <v>30</v>
      </c>
      <c r="DT78" s="72"/>
      <c r="DU78" s="73"/>
      <c r="DV78" s="29"/>
      <c r="DW78" s="86"/>
      <c r="DX78" s="35"/>
      <c r="DY78" s="70" t="s">
        <v>42</v>
      </c>
      <c r="DZ78" s="59"/>
      <c r="EA78" s="59"/>
      <c r="EB78" s="36"/>
      <c r="EC78" s="80" t="s">
        <v>43</v>
      </c>
      <c r="ED78" s="72"/>
      <c r="EE78" s="73"/>
      <c r="EF78" s="41"/>
      <c r="EG78" s="71" t="s">
        <v>30</v>
      </c>
      <c r="EH78" s="72"/>
      <c r="EI78" s="73"/>
      <c r="EJ78" s="29"/>
      <c r="EK78" s="86"/>
      <c r="EL78" s="35"/>
      <c r="EM78" s="70" t="s">
        <v>42</v>
      </c>
      <c r="EN78" s="59"/>
      <c r="EO78" s="59"/>
      <c r="EP78" s="36"/>
      <c r="EQ78" s="80" t="s">
        <v>43</v>
      </c>
      <c r="ER78" s="72"/>
      <c r="ES78" s="73"/>
      <c r="ET78" s="41"/>
      <c r="EU78" s="71" t="s">
        <v>30</v>
      </c>
      <c r="EV78" s="72"/>
      <c r="EW78" s="73"/>
      <c r="EX78" s="29"/>
      <c r="EY78" s="86"/>
      <c r="EZ78" s="35"/>
      <c r="FA78" s="70" t="s">
        <v>42</v>
      </c>
      <c r="FB78" s="59"/>
      <c r="FC78" s="59"/>
      <c r="FD78" s="36"/>
      <c r="FE78" s="80" t="s">
        <v>43</v>
      </c>
      <c r="FF78" s="72"/>
      <c r="FG78" s="73"/>
      <c r="FH78" s="41"/>
      <c r="FI78" s="71" t="s">
        <v>30</v>
      </c>
      <c r="FJ78" s="72"/>
      <c r="FK78" s="73"/>
      <c r="FL78" s="29"/>
      <c r="FM78" s="86"/>
    </row>
    <row r="79" spans="1:172" ht="15.75" customHeight="1">
      <c r="A79" s="86"/>
      <c r="B79" s="30"/>
      <c r="C79" s="37" t="s">
        <v>4</v>
      </c>
      <c r="D79" s="38" t="s">
        <v>38</v>
      </c>
      <c r="E79" s="38" t="s">
        <v>39</v>
      </c>
      <c r="F79" s="36"/>
      <c r="G79" s="38" t="s">
        <v>4</v>
      </c>
      <c r="H79" s="38" t="s">
        <v>38</v>
      </c>
      <c r="I79" s="38" t="s">
        <v>39</v>
      </c>
      <c r="J79" s="36"/>
      <c r="K79" s="38" t="s">
        <v>4</v>
      </c>
      <c r="L79" s="38" t="s">
        <v>38</v>
      </c>
      <c r="M79" s="38" t="s">
        <v>39</v>
      </c>
      <c r="N79" s="29"/>
      <c r="O79" s="86"/>
      <c r="Q79" s="37" t="s">
        <v>4</v>
      </c>
      <c r="R79" s="38" t="s">
        <v>38</v>
      </c>
      <c r="S79" s="38" t="s">
        <v>39</v>
      </c>
      <c r="T79" s="36"/>
      <c r="U79" s="38" t="s">
        <v>4</v>
      </c>
      <c r="V79" s="38" t="s">
        <v>38</v>
      </c>
      <c r="W79" s="38" t="s">
        <v>39</v>
      </c>
      <c r="X79" s="36"/>
      <c r="Y79" s="38" t="s">
        <v>4</v>
      </c>
      <c r="Z79" s="38" t="s">
        <v>38</v>
      </c>
      <c r="AA79" s="38" t="s">
        <v>39</v>
      </c>
      <c r="AB79" s="29"/>
      <c r="AC79" s="86"/>
      <c r="AD79" s="35"/>
      <c r="AE79" s="37" t="s">
        <v>4</v>
      </c>
      <c r="AF79" s="38" t="s">
        <v>38</v>
      </c>
      <c r="AG79" s="38" t="s">
        <v>39</v>
      </c>
      <c r="AH79" s="36"/>
      <c r="AI79" s="38" t="s">
        <v>4</v>
      </c>
      <c r="AJ79" s="38" t="s">
        <v>38</v>
      </c>
      <c r="AK79" s="38" t="s">
        <v>39</v>
      </c>
      <c r="AL79" s="36"/>
      <c r="AM79" s="38" t="s">
        <v>4</v>
      </c>
      <c r="AN79" s="38" t="s">
        <v>38</v>
      </c>
      <c r="AO79" s="38" t="s">
        <v>39</v>
      </c>
      <c r="AP79" s="29"/>
      <c r="AQ79" s="86"/>
      <c r="AR79" s="35"/>
      <c r="AS79" s="37" t="s">
        <v>4</v>
      </c>
      <c r="AT79" s="38" t="s">
        <v>38</v>
      </c>
      <c r="AU79" s="38" t="s">
        <v>39</v>
      </c>
      <c r="AV79" s="36"/>
      <c r="AW79" s="38" t="s">
        <v>4</v>
      </c>
      <c r="AX79" s="38" t="s">
        <v>38</v>
      </c>
      <c r="AY79" s="38" t="s">
        <v>39</v>
      </c>
      <c r="AZ79" s="36"/>
      <c r="BA79" s="38" t="s">
        <v>4</v>
      </c>
      <c r="BB79" s="38" t="s">
        <v>38</v>
      </c>
      <c r="BC79" s="38" t="s">
        <v>39</v>
      </c>
      <c r="BD79" s="29"/>
      <c r="BE79" s="86"/>
      <c r="BF79" s="35"/>
      <c r="BG79" s="37" t="s">
        <v>4</v>
      </c>
      <c r="BH79" s="38" t="s">
        <v>38</v>
      </c>
      <c r="BI79" s="38" t="s">
        <v>39</v>
      </c>
      <c r="BJ79" s="36"/>
      <c r="BK79" s="38" t="s">
        <v>4</v>
      </c>
      <c r="BL79" s="38" t="s">
        <v>38</v>
      </c>
      <c r="BM79" s="38" t="s">
        <v>39</v>
      </c>
      <c r="BN79" s="36"/>
      <c r="BO79" s="38" t="s">
        <v>4</v>
      </c>
      <c r="BP79" s="38" t="s">
        <v>38</v>
      </c>
      <c r="BQ79" s="38" t="s">
        <v>39</v>
      </c>
      <c r="BR79" s="29"/>
      <c r="BS79" s="86"/>
      <c r="BT79" s="35"/>
      <c r="BU79" s="37" t="s">
        <v>4</v>
      </c>
      <c r="BV79" s="38" t="s">
        <v>38</v>
      </c>
      <c r="BW79" s="38" t="s">
        <v>39</v>
      </c>
      <c r="BX79" s="36"/>
      <c r="BY79" s="38" t="s">
        <v>4</v>
      </c>
      <c r="BZ79" s="38" t="s">
        <v>38</v>
      </c>
      <c r="CA79" s="38" t="s">
        <v>39</v>
      </c>
      <c r="CB79" s="36"/>
      <c r="CC79" s="38" t="s">
        <v>4</v>
      </c>
      <c r="CD79" s="38" t="s">
        <v>38</v>
      </c>
      <c r="CE79" s="38" t="s">
        <v>39</v>
      </c>
      <c r="CF79" s="29"/>
      <c r="CG79" s="86"/>
      <c r="CH79" s="35"/>
      <c r="CI79" s="37" t="s">
        <v>4</v>
      </c>
      <c r="CJ79" s="38" t="s">
        <v>38</v>
      </c>
      <c r="CK79" s="38" t="s">
        <v>39</v>
      </c>
      <c r="CL79" s="36"/>
      <c r="CM79" s="38" t="s">
        <v>4</v>
      </c>
      <c r="CN79" s="38" t="s">
        <v>38</v>
      </c>
      <c r="CO79" s="38" t="s">
        <v>39</v>
      </c>
      <c r="CP79" s="36"/>
      <c r="CQ79" s="38" t="s">
        <v>4</v>
      </c>
      <c r="CR79" s="38" t="s">
        <v>38</v>
      </c>
      <c r="CS79" s="38" t="s">
        <v>39</v>
      </c>
      <c r="CT79" s="29"/>
      <c r="CU79" s="86"/>
      <c r="CV79" s="35"/>
      <c r="CW79" s="37" t="s">
        <v>4</v>
      </c>
      <c r="CX79" s="38" t="s">
        <v>38</v>
      </c>
      <c r="CY79" s="38" t="s">
        <v>39</v>
      </c>
      <c r="CZ79" s="36"/>
      <c r="DA79" s="38" t="s">
        <v>4</v>
      </c>
      <c r="DB79" s="38" t="s">
        <v>38</v>
      </c>
      <c r="DC79" s="38" t="s">
        <v>39</v>
      </c>
      <c r="DD79" s="36"/>
      <c r="DE79" s="38" t="s">
        <v>4</v>
      </c>
      <c r="DF79" s="38" t="s">
        <v>38</v>
      </c>
      <c r="DG79" s="38" t="s">
        <v>39</v>
      </c>
      <c r="DH79" s="29"/>
      <c r="DI79" s="86"/>
      <c r="DJ79" s="35"/>
      <c r="DK79" s="37" t="s">
        <v>4</v>
      </c>
      <c r="DL79" s="38" t="s">
        <v>38</v>
      </c>
      <c r="DM79" s="38" t="s">
        <v>39</v>
      </c>
      <c r="DN79" s="36"/>
      <c r="DO79" s="38" t="s">
        <v>4</v>
      </c>
      <c r="DP79" s="38" t="s">
        <v>38</v>
      </c>
      <c r="DQ79" s="38" t="s">
        <v>39</v>
      </c>
      <c r="DR79" s="36"/>
      <c r="DS79" s="38" t="s">
        <v>4</v>
      </c>
      <c r="DT79" s="38" t="s">
        <v>38</v>
      </c>
      <c r="DU79" s="38" t="s">
        <v>39</v>
      </c>
      <c r="DV79" s="29"/>
      <c r="DW79" s="86"/>
      <c r="DX79" s="35"/>
      <c r="DY79" s="37" t="s">
        <v>4</v>
      </c>
      <c r="DZ79" s="38" t="s">
        <v>38</v>
      </c>
      <c r="EA79" s="38" t="s">
        <v>39</v>
      </c>
      <c r="EB79" s="36"/>
      <c r="EC79" s="38" t="s">
        <v>4</v>
      </c>
      <c r="ED79" s="38" t="s">
        <v>38</v>
      </c>
      <c r="EE79" s="38" t="s">
        <v>39</v>
      </c>
      <c r="EF79" s="36"/>
      <c r="EG79" s="38" t="s">
        <v>4</v>
      </c>
      <c r="EH79" s="38" t="s">
        <v>38</v>
      </c>
      <c r="EI79" s="38" t="s">
        <v>39</v>
      </c>
      <c r="EJ79" s="29"/>
      <c r="EK79" s="86"/>
      <c r="EL79" s="35"/>
      <c r="EM79" s="37" t="s">
        <v>4</v>
      </c>
      <c r="EN79" s="38" t="s">
        <v>38</v>
      </c>
      <c r="EO79" s="38" t="s">
        <v>39</v>
      </c>
      <c r="EP79" s="36"/>
      <c r="EQ79" s="38" t="s">
        <v>4</v>
      </c>
      <c r="ER79" s="38" t="s">
        <v>38</v>
      </c>
      <c r="ES79" s="38" t="s">
        <v>39</v>
      </c>
      <c r="ET79" s="36"/>
      <c r="EU79" s="38" t="s">
        <v>4</v>
      </c>
      <c r="EV79" s="38" t="s">
        <v>38</v>
      </c>
      <c r="EW79" s="38" t="s">
        <v>39</v>
      </c>
      <c r="EX79" s="29"/>
      <c r="EY79" s="86"/>
      <c r="EZ79" s="35"/>
      <c r="FA79" s="37" t="s">
        <v>4</v>
      </c>
      <c r="FB79" s="38" t="s">
        <v>38</v>
      </c>
      <c r="FC79" s="38" t="s">
        <v>39</v>
      </c>
      <c r="FD79" s="36"/>
      <c r="FE79" s="38" t="s">
        <v>4</v>
      </c>
      <c r="FF79" s="38" t="s">
        <v>38</v>
      </c>
      <c r="FG79" s="38" t="s">
        <v>39</v>
      </c>
      <c r="FH79" s="36"/>
      <c r="FI79" s="38" t="s">
        <v>4</v>
      </c>
      <c r="FJ79" s="38" t="s">
        <v>38</v>
      </c>
      <c r="FK79" s="38" t="s">
        <v>39</v>
      </c>
      <c r="FL79" s="29"/>
      <c r="FM79" s="86"/>
    </row>
    <row r="80" spans="1:172" ht="15.75" customHeight="1">
      <c r="A80" s="86"/>
      <c r="C80" s="45">
        <f ca="1">ROUNDUP(INDIRECT("I" &amp; (25+C$67))*$F$16/2.5, 0)*2.5</f>
        <v>0</v>
      </c>
      <c r="D80" s="38">
        <v>1</v>
      </c>
      <c r="E80" s="38"/>
      <c r="F80" s="36"/>
      <c r="G80" s="45">
        <f ca="1">ROUNDUP(INDIRECT("I" &amp; (25+C$67))*$F$32/2.5, 0)*2.5</f>
        <v>0</v>
      </c>
      <c r="H80" s="38">
        <v>1</v>
      </c>
      <c r="I80" s="38"/>
      <c r="J80" s="36"/>
      <c r="K80" s="45">
        <f ca="1">ROUNDUP(INDIRECT("I" &amp; (25+C$67))*$F$46/2.5, 0)*2.5</f>
        <v>0</v>
      </c>
      <c r="L80" s="38">
        <v>1</v>
      </c>
      <c r="M80" s="38"/>
      <c r="N80" s="29"/>
      <c r="O80" s="86"/>
      <c r="Q80" s="45">
        <f ca="1">ROUNDUP(INDIRECT("I" &amp; (25+Q$67))*$F$16/2.5, 0)*2.5</f>
        <v>0</v>
      </c>
      <c r="R80" s="38">
        <v>1</v>
      </c>
      <c r="S80" s="38"/>
      <c r="T80" s="36"/>
      <c r="U80" s="45">
        <f ca="1">ROUNDUP(INDIRECT("I" &amp; (25+Q$67))*$F$32/2.5, 0)*2.5</f>
        <v>0</v>
      </c>
      <c r="V80" s="38">
        <v>1</v>
      </c>
      <c r="W80" s="38"/>
      <c r="X80" s="36"/>
      <c r="Y80" s="45">
        <f ca="1">ROUNDUP(INDIRECT("I" &amp; (25+Q$67))*$F$46/2.5, 0)*2.5</f>
        <v>0</v>
      </c>
      <c r="Z80" s="38">
        <v>1</v>
      </c>
      <c r="AA80" s="38"/>
      <c r="AB80" s="29"/>
      <c r="AC80" s="86"/>
      <c r="AD80" s="35"/>
      <c r="AE80" s="45">
        <f ca="1">ROUNDUP(INDIRECT("I" &amp; (25+AE$67))*$F$16/2.5, 0)*2.5</f>
        <v>0</v>
      </c>
      <c r="AF80" s="38">
        <v>1</v>
      </c>
      <c r="AG80" s="38"/>
      <c r="AH80" s="36"/>
      <c r="AI80" s="45">
        <f ca="1">ROUNDUP(INDIRECT("I" &amp; (25+AE$67))*$F$32/2.5, 0)*2.5</f>
        <v>0</v>
      </c>
      <c r="AJ80" s="38">
        <v>1</v>
      </c>
      <c r="AK80" s="38"/>
      <c r="AL80" s="36"/>
      <c r="AM80" s="45">
        <f ca="1">ROUNDUP(INDIRECT("I" &amp; (25+AE$67))*$F$46/2.5, 0)*2.5</f>
        <v>0</v>
      </c>
      <c r="AN80" s="38">
        <v>1</v>
      </c>
      <c r="AO80" s="38"/>
      <c r="AP80" s="29"/>
      <c r="AQ80" s="86"/>
      <c r="AR80" s="35"/>
      <c r="AS80" s="45">
        <f ca="1">ROUNDUP(INDIRECT("I" &amp; (25+AS$67))*$F$16/2.5, 0)*2.5</f>
        <v>0</v>
      </c>
      <c r="AT80" s="38">
        <v>1</v>
      </c>
      <c r="AU80" s="38"/>
      <c r="AV80" s="36"/>
      <c r="AW80" s="45">
        <f ca="1">ROUNDUP(INDIRECT("I" &amp; (25+AS$67))*$F$32/2.5, 0)*2.5</f>
        <v>0</v>
      </c>
      <c r="AX80" s="38">
        <v>1</v>
      </c>
      <c r="AY80" s="38"/>
      <c r="AZ80" s="36"/>
      <c r="BA80" s="45">
        <f ca="1">ROUNDUP(INDIRECT("I" &amp; (25+AS$67))*$F$46/2.5, 0)*2.5</f>
        <v>0</v>
      </c>
      <c r="BB80" s="38">
        <v>1</v>
      </c>
      <c r="BC80" s="38"/>
      <c r="BD80" s="29"/>
      <c r="BE80" s="86"/>
      <c r="BF80" s="35"/>
      <c r="BG80" s="45">
        <f ca="1">ROUNDUP(INDIRECT("I" &amp; (25+BG$67))*$F$16/2.5, 0)*2.5</f>
        <v>0</v>
      </c>
      <c r="BH80" s="38">
        <v>1</v>
      </c>
      <c r="BI80" s="38"/>
      <c r="BJ80" s="36"/>
      <c r="BK80" s="45">
        <f ca="1">ROUNDUP(INDIRECT("I" &amp; (25+BG$67))*$F$32/2.5, 0)*2.5</f>
        <v>0</v>
      </c>
      <c r="BL80" s="38">
        <v>1</v>
      </c>
      <c r="BM80" s="38"/>
      <c r="BN80" s="36"/>
      <c r="BO80" s="45">
        <f ca="1">ROUNDUP(INDIRECT("I" &amp; (25+BG$67))*$F$46/2.5, 0)*2.5</f>
        <v>0</v>
      </c>
      <c r="BP80" s="38">
        <v>1</v>
      </c>
      <c r="BQ80" s="38"/>
      <c r="BR80" s="29"/>
      <c r="BS80" s="86"/>
      <c r="BT80" s="35"/>
      <c r="BU80" s="45">
        <f ca="1">ROUNDUP(INDIRECT("I" &amp; (25+BU$67))*$F$16/2.5, 0)*2.5</f>
        <v>0</v>
      </c>
      <c r="BV80" s="38">
        <v>1</v>
      </c>
      <c r="BW80" s="38"/>
      <c r="BX80" s="36"/>
      <c r="BY80" s="45">
        <f ca="1">ROUNDUP(INDIRECT("I" &amp; (25+BU$67))*$F$32/2.5, 0)*2.5</f>
        <v>0</v>
      </c>
      <c r="BZ80" s="38">
        <v>1</v>
      </c>
      <c r="CA80" s="38"/>
      <c r="CB80" s="36"/>
      <c r="CC80" s="45">
        <f ca="1">ROUNDUP(INDIRECT("I" &amp; (25+BU$67))*$F$46/2.5, 0)*2.5</f>
        <v>0</v>
      </c>
      <c r="CD80" s="38">
        <v>1</v>
      </c>
      <c r="CE80" s="38"/>
      <c r="CF80" s="29"/>
      <c r="CG80" s="86"/>
      <c r="CH80" s="35"/>
      <c r="CI80" s="45">
        <f ca="1">ROUNDUP(INDIRECT("I" &amp; (25+CI$67))*$F$16/2.5, 0)*2.5</f>
        <v>0</v>
      </c>
      <c r="CJ80" s="38">
        <v>1</v>
      </c>
      <c r="CK80" s="38"/>
      <c r="CL80" s="36"/>
      <c r="CM80" s="45">
        <f ca="1">ROUNDUP(INDIRECT("I" &amp; (25+CI$67))*$F$32/2.5, 0)*2.5</f>
        <v>0</v>
      </c>
      <c r="CN80" s="38">
        <v>1</v>
      </c>
      <c r="CO80" s="38"/>
      <c r="CP80" s="36"/>
      <c r="CQ80" s="45">
        <f ca="1">ROUNDUP(INDIRECT("I" &amp; (25+CI$67))*$F$46/2.5, 0)*2.5</f>
        <v>0</v>
      </c>
      <c r="CR80" s="38">
        <v>1</v>
      </c>
      <c r="CS80" s="38"/>
      <c r="CT80" s="29"/>
      <c r="CU80" s="86"/>
      <c r="CV80" s="35"/>
      <c r="CW80" s="45">
        <f ca="1">ROUNDUP(INDIRECT("I" &amp; (25+CW$67))*$F$16/2.5, 0)*2.5</f>
        <v>0</v>
      </c>
      <c r="CX80" s="38">
        <v>1</v>
      </c>
      <c r="CY80" s="38"/>
      <c r="CZ80" s="36"/>
      <c r="DA80" s="45">
        <f ca="1">ROUNDUP(INDIRECT("I" &amp; (25+CW$67))*$F$32/2.5, 0)*2.5</f>
        <v>0</v>
      </c>
      <c r="DB80" s="38">
        <v>1</v>
      </c>
      <c r="DC80" s="38"/>
      <c r="DD80" s="36"/>
      <c r="DE80" s="45">
        <f ca="1">ROUNDUP(INDIRECT("I" &amp; (25+CW$67))*$F$46/2.5, 0)*2.5</f>
        <v>0</v>
      </c>
      <c r="DF80" s="38">
        <v>1</v>
      </c>
      <c r="DG80" s="38"/>
      <c r="DH80" s="29"/>
      <c r="DI80" s="86"/>
      <c r="DJ80" s="35"/>
      <c r="DK80" s="45">
        <f ca="1">ROUNDUP(INDIRECT("I" &amp; (25+DK$67))*$F$16/2.5, 0)*2.5</f>
        <v>0</v>
      </c>
      <c r="DL80" s="38">
        <v>1</v>
      </c>
      <c r="DM80" s="38"/>
      <c r="DN80" s="36"/>
      <c r="DO80" s="45">
        <f ca="1">ROUNDUP(INDIRECT("I" &amp; (25+DK$67))*$F$32/2.5, 0)*2.5</f>
        <v>0</v>
      </c>
      <c r="DP80" s="38">
        <v>1</v>
      </c>
      <c r="DQ80" s="38"/>
      <c r="DR80" s="36"/>
      <c r="DS80" s="45">
        <f ca="1">ROUNDUP(INDIRECT("I" &amp; (25+DK$67))*$F$46/2.5, 0)*2.5</f>
        <v>0</v>
      </c>
      <c r="DT80" s="38">
        <v>1</v>
      </c>
      <c r="DU80" s="38"/>
      <c r="DV80" s="29"/>
      <c r="DW80" s="86"/>
      <c r="DX80" s="35"/>
      <c r="DY80" s="45">
        <f ca="1">ROUNDUP(INDIRECT("I" &amp; (25+DY$67))*$F$16/2.5, 0)*2.5</f>
        <v>0</v>
      </c>
      <c r="DZ80" s="38">
        <v>1</v>
      </c>
      <c r="EA80" s="38"/>
      <c r="EB80" s="36"/>
      <c r="EC80" s="45">
        <f ca="1">ROUNDUP(INDIRECT("I" &amp; (25+DY$67))*$F$32/2.5, 0)*2.5</f>
        <v>0</v>
      </c>
      <c r="ED80" s="38">
        <v>1</v>
      </c>
      <c r="EE80" s="38"/>
      <c r="EF80" s="36"/>
      <c r="EG80" s="45">
        <f ca="1">ROUNDUP(INDIRECT("I" &amp; (25+DY$67))*$F$46/2.5, 0)*2.5</f>
        <v>0</v>
      </c>
      <c r="EH80" s="38">
        <v>1</v>
      </c>
      <c r="EI80" s="38"/>
      <c r="EJ80" s="29"/>
      <c r="EK80" s="86"/>
      <c r="EL80" s="35"/>
      <c r="EM80" s="45">
        <f ca="1">ROUNDUP(INDIRECT("I" &amp; (25+EM$67))*$F$16/2.5, 0)*2.5</f>
        <v>0</v>
      </c>
      <c r="EN80" s="38">
        <v>1</v>
      </c>
      <c r="EO80" s="38"/>
      <c r="EP80" s="36"/>
      <c r="EQ80" s="45">
        <f ca="1">ROUNDUP(INDIRECT("I" &amp; (25+EM$67))*$F$32/2.5, 0)*2.5</f>
        <v>0</v>
      </c>
      <c r="ER80" s="38">
        <v>1</v>
      </c>
      <c r="ES80" s="38"/>
      <c r="ET80" s="36"/>
      <c r="EU80" s="45">
        <f ca="1">ROUNDUP(INDIRECT("I" &amp; (25+EM$67))*$F$46/2.5, 0)*2.5</f>
        <v>0</v>
      </c>
      <c r="EV80" s="38">
        <v>1</v>
      </c>
      <c r="EW80" s="38"/>
      <c r="EX80" s="29"/>
      <c r="EY80" s="86"/>
      <c r="EZ80" s="35"/>
      <c r="FA80" s="45">
        <f ca="1">ROUNDUP(INDIRECT("I" &amp; (25+FA$67))*$F$16/2.5, 0)*2.5</f>
        <v>0</v>
      </c>
      <c r="FB80" s="38">
        <v>1</v>
      </c>
      <c r="FC80" s="38"/>
      <c r="FD80" s="36"/>
      <c r="FE80" s="45">
        <f ca="1">ROUNDUP(INDIRECT("I" &amp; (25+FA$67))*$F$32/2.5, 0)*2.5</f>
        <v>0</v>
      </c>
      <c r="FF80" s="38">
        <v>1</v>
      </c>
      <c r="FG80" s="38"/>
      <c r="FH80" s="36"/>
      <c r="FI80" s="45">
        <f ca="1">ROUNDUP(INDIRECT("I" &amp; (25+FA$67))*$F$46/2.5, 0)*2.5</f>
        <v>0</v>
      </c>
      <c r="FJ80" s="38">
        <v>1</v>
      </c>
      <c r="FK80" s="38"/>
      <c r="FL80" s="29"/>
      <c r="FM80" s="86"/>
    </row>
    <row r="81" spans="1:169" ht="15.75" customHeight="1">
      <c r="A81" s="86"/>
      <c r="C81" s="45">
        <f ca="1">ROUNDUP(INDIRECT("I" &amp; (25+C$67))*$F$16/2.5, 0)*2.5</f>
        <v>0</v>
      </c>
      <c r="D81" s="36">
        <v>2</v>
      </c>
      <c r="E81" s="36"/>
      <c r="F81" s="36"/>
      <c r="G81" s="45">
        <f ca="1">ROUNDUP(INDIRECT("I" &amp; (25+C$67))*$F$32/2.5, 0)*2.5</f>
        <v>0</v>
      </c>
      <c r="H81" s="38">
        <v>2</v>
      </c>
      <c r="I81" s="38"/>
      <c r="J81" s="36"/>
      <c r="K81" s="45">
        <f t="shared" ref="K81:K82" ca="1" si="27">ROUNDUP(INDIRECT("I" &amp; (25+C$67))*$F$46/2.5, 0)*2.5</f>
        <v>0</v>
      </c>
      <c r="L81" s="38">
        <v>2</v>
      </c>
      <c r="M81" s="38"/>
      <c r="O81" s="86"/>
      <c r="Q81" s="45">
        <f ca="1">ROUNDUP(INDIRECT("I" &amp; (25+Q$67))*$F$16/2.5, 0)*2.5</f>
        <v>0</v>
      </c>
      <c r="R81" s="36">
        <v>2</v>
      </c>
      <c r="S81" s="36"/>
      <c r="T81" s="36"/>
      <c r="U81" s="45">
        <f ca="1">ROUNDUP(INDIRECT("I" &amp; (25+Q$67))*$F$32/2.5, 0)*2.5</f>
        <v>0</v>
      </c>
      <c r="V81" s="38">
        <v>2</v>
      </c>
      <c r="W81" s="38"/>
      <c r="X81" s="36"/>
      <c r="Y81" s="45">
        <f t="shared" ref="Y81:Y82" ca="1" si="28">ROUNDUP(INDIRECT("I" &amp; (25+Q$67))*$F$46/2.5, 0)*2.5</f>
        <v>0</v>
      </c>
      <c r="Z81" s="38">
        <v>2</v>
      </c>
      <c r="AA81" s="38"/>
      <c r="AC81" s="86"/>
      <c r="AD81" s="35"/>
      <c r="AE81" s="45">
        <f ca="1">ROUNDUP(INDIRECT("I" &amp; (25+AE$67))*$F$16/2.5, 0)*2.5</f>
        <v>0</v>
      </c>
      <c r="AF81" s="36">
        <v>2</v>
      </c>
      <c r="AG81" s="36"/>
      <c r="AH81" s="36"/>
      <c r="AI81" s="45">
        <f ca="1">ROUNDUP(INDIRECT("I" &amp; (25+AE$67))*$F$32/2.5, 0)*2.5</f>
        <v>0</v>
      </c>
      <c r="AJ81" s="38">
        <v>2</v>
      </c>
      <c r="AK81" s="38"/>
      <c r="AL81" s="36"/>
      <c r="AM81" s="45">
        <f t="shared" ref="AM81:AM82" ca="1" si="29">ROUNDUP(INDIRECT("I" &amp; (25+AE$67))*$F$46/2.5, 0)*2.5</f>
        <v>0</v>
      </c>
      <c r="AN81" s="38">
        <v>2</v>
      </c>
      <c r="AO81" s="38"/>
      <c r="AP81" s="35"/>
      <c r="AQ81" s="86"/>
      <c r="AR81" s="35"/>
      <c r="AS81" s="45">
        <f ca="1">ROUNDUP(INDIRECT("I" &amp; (25+AS$67))*$F$16/2.5, 0)*2.5</f>
        <v>0</v>
      </c>
      <c r="AT81" s="36">
        <v>2</v>
      </c>
      <c r="AU81" s="36"/>
      <c r="AV81" s="36"/>
      <c r="AW81" s="45">
        <f ca="1">ROUNDUP(INDIRECT("I" &amp; (25+AS$67))*$F$32/2.5, 0)*2.5</f>
        <v>0</v>
      </c>
      <c r="AX81" s="38">
        <v>2</v>
      </c>
      <c r="AY81" s="38"/>
      <c r="AZ81" s="36"/>
      <c r="BA81" s="45">
        <f t="shared" ref="BA81:BA82" ca="1" si="30">ROUNDUP(INDIRECT("I" &amp; (25+AS$67))*$F$46/2.5, 0)*2.5</f>
        <v>0</v>
      </c>
      <c r="BB81" s="38">
        <v>2</v>
      </c>
      <c r="BC81" s="38"/>
      <c r="BD81" s="35"/>
      <c r="BE81" s="86"/>
      <c r="BF81" s="35"/>
      <c r="BG81" s="45">
        <f ca="1">ROUNDUP(INDIRECT("I" &amp; (25+BG$67))*$F$16/2.5, 0)*2.5</f>
        <v>0</v>
      </c>
      <c r="BH81" s="36">
        <v>2</v>
      </c>
      <c r="BI81" s="36"/>
      <c r="BJ81" s="36"/>
      <c r="BK81" s="45">
        <f ca="1">ROUNDUP(INDIRECT("I" &amp; (25+BG$67))*$F$32/2.5, 0)*2.5</f>
        <v>0</v>
      </c>
      <c r="BL81" s="38">
        <v>2</v>
      </c>
      <c r="BM81" s="38"/>
      <c r="BN81" s="36"/>
      <c r="BO81" s="45">
        <f t="shared" ref="BO81:BO82" ca="1" si="31">ROUNDUP(INDIRECT("I" &amp; (25+BG$67))*$F$46/2.5, 0)*2.5</f>
        <v>0</v>
      </c>
      <c r="BP81" s="38">
        <v>2</v>
      </c>
      <c r="BQ81" s="38"/>
      <c r="BR81" s="35"/>
      <c r="BS81" s="86"/>
      <c r="BT81" s="35"/>
      <c r="BU81" s="45">
        <f ca="1">ROUNDUP(INDIRECT("I" &amp; (25+BU$67))*$F$16/2.5, 0)*2.5</f>
        <v>0</v>
      </c>
      <c r="BV81" s="36">
        <v>2</v>
      </c>
      <c r="BW81" s="36"/>
      <c r="BX81" s="36"/>
      <c r="BY81" s="45">
        <f ca="1">ROUNDUP(INDIRECT("I" &amp; (25+BU$67))*$F$32/2.5, 0)*2.5</f>
        <v>0</v>
      </c>
      <c r="BZ81" s="38">
        <v>2</v>
      </c>
      <c r="CA81" s="38"/>
      <c r="CB81" s="36"/>
      <c r="CC81" s="45">
        <f t="shared" ref="CC81:CC82" ca="1" si="32">ROUNDUP(INDIRECT("I" &amp; (25+BU$67))*$F$46/2.5, 0)*2.5</f>
        <v>0</v>
      </c>
      <c r="CD81" s="38">
        <v>2</v>
      </c>
      <c r="CE81" s="38"/>
      <c r="CF81" s="35"/>
      <c r="CG81" s="86"/>
      <c r="CH81" s="35"/>
      <c r="CI81" s="45">
        <f ca="1">ROUNDUP(INDIRECT("I" &amp; (25+CI$67))*$F$16/2.5, 0)*2.5</f>
        <v>0</v>
      </c>
      <c r="CJ81" s="36">
        <v>2</v>
      </c>
      <c r="CK81" s="36"/>
      <c r="CL81" s="36"/>
      <c r="CM81" s="45">
        <f ca="1">ROUNDUP(INDIRECT("I" &amp; (25+CI$67))*$F$32/2.5, 0)*2.5</f>
        <v>0</v>
      </c>
      <c r="CN81" s="38">
        <v>2</v>
      </c>
      <c r="CO81" s="38"/>
      <c r="CP81" s="36"/>
      <c r="CQ81" s="45">
        <f t="shared" ref="CQ81:CQ82" ca="1" si="33">ROUNDUP(INDIRECT("I" &amp; (25+CI$67))*$F$46/2.5, 0)*2.5</f>
        <v>0</v>
      </c>
      <c r="CR81" s="38">
        <v>2</v>
      </c>
      <c r="CS81" s="38"/>
      <c r="CT81" s="35"/>
      <c r="CU81" s="86"/>
      <c r="CV81" s="35"/>
      <c r="CW81" s="45">
        <f ca="1">ROUNDUP(INDIRECT("I" &amp; (25+CW$67))*$F$16/2.5, 0)*2.5</f>
        <v>0</v>
      </c>
      <c r="CX81" s="36">
        <v>2</v>
      </c>
      <c r="CY81" s="36"/>
      <c r="CZ81" s="36"/>
      <c r="DA81" s="45">
        <f ca="1">ROUNDUP(INDIRECT("I" &amp; (25+CW$67))*$F$32/2.5, 0)*2.5</f>
        <v>0</v>
      </c>
      <c r="DB81" s="38">
        <v>2</v>
      </c>
      <c r="DC81" s="38"/>
      <c r="DD81" s="36"/>
      <c r="DE81" s="45">
        <f t="shared" ref="DE81:DE82" ca="1" si="34">ROUNDUP(INDIRECT("I" &amp; (25+CW$67))*$F$46/2.5, 0)*2.5</f>
        <v>0</v>
      </c>
      <c r="DF81" s="38">
        <v>2</v>
      </c>
      <c r="DG81" s="38"/>
      <c r="DH81" s="35"/>
      <c r="DI81" s="86"/>
      <c r="DJ81" s="35"/>
      <c r="DK81" s="45">
        <f ca="1">ROUNDUP(INDIRECT("I" &amp; (25+DK$67))*$F$16/2.5, 0)*2.5</f>
        <v>0</v>
      </c>
      <c r="DL81" s="36">
        <v>2</v>
      </c>
      <c r="DM81" s="36"/>
      <c r="DN81" s="36"/>
      <c r="DO81" s="45">
        <f ca="1">ROUNDUP(INDIRECT("I" &amp; (25+DK$67))*$F$32/2.5, 0)*2.5</f>
        <v>0</v>
      </c>
      <c r="DP81" s="38">
        <v>2</v>
      </c>
      <c r="DQ81" s="38"/>
      <c r="DR81" s="36"/>
      <c r="DS81" s="45">
        <f t="shared" ref="DS81:DS82" ca="1" si="35">ROUNDUP(INDIRECT("I" &amp; (25+DK$67))*$F$46/2.5, 0)*2.5</f>
        <v>0</v>
      </c>
      <c r="DT81" s="38">
        <v>2</v>
      </c>
      <c r="DU81" s="38"/>
      <c r="DV81" s="35"/>
      <c r="DW81" s="86"/>
      <c r="DX81" s="35"/>
      <c r="DY81" s="45">
        <f ca="1">ROUNDUP(INDIRECT("I" &amp; (25+DY$67))*$F$16/2.5, 0)*2.5</f>
        <v>0</v>
      </c>
      <c r="DZ81" s="36">
        <v>2</v>
      </c>
      <c r="EA81" s="36"/>
      <c r="EB81" s="36"/>
      <c r="EC81" s="45">
        <f ca="1">ROUNDUP(INDIRECT("I" &amp; (25+DY$67))*$F$32/2.5, 0)*2.5</f>
        <v>0</v>
      </c>
      <c r="ED81" s="38">
        <v>2</v>
      </c>
      <c r="EE81" s="38"/>
      <c r="EF81" s="36"/>
      <c r="EG81" s="45">
        <f t="shared" ref="EG81:EG82" ca="1" si="36">ROUNDUP(INDIRECT("I" &amp; (25+DY$67))*$F$46/2.5, 0)*2.5</f>
        <v>0</v>
      </c>
      <c r="EH81" s="38">
        <v>2</v>
      </c>
      <c r="EI81" s="38"/>
      <c r="EJ81" s="35"/>
      <c r="EK81" s="86"/>
      <c r="EL81" s="35"/>
      <c r="EM81" s="45">
        <f ca="1">ROUNDUP(INDIRECT("I" &amp; (25+EM$67))*$F$16/2.5, 0)*2.5</f>
        <v>0</v>
      </c>
      <c r="EN81" s="36">
        <v>2</v>
      </c>
      <c r="EO81" s="36"/>
      <c r="EP81" s="36"/>
      <c r="EQ81" s="45">
        <f ca="1">ROUNDUP(INDIRECT("I" &amp; (25+EM$67))*$F$32/2.5, 0)*2.5</f>
        <v>0</v>
      </c>
      <c r="ER81" s="38">
        <v>2</v>
      </c>
      <c r="ES81" s="38"/>
      <c r="ET81" s="36"/>
      <c r="EU81" s="45">
        <f t="shared" ref="EU81:EU82" ca="1" si="37">ROUNDUP(INDIRECT("I" &amp; (25+EM$67))*$F$46/2.5, 0)*2.5</f>
        <v>0</v>
      </c>
      <c r="EV81" s="38">
        <v>2</v>
      </c>
      <c r="EW81" s="38"/>
      <c r="EX81" s="35"/>
      <c r="EY81" s="86"/>
      <c r="EZ81" s="35"/>
      <c r="FA81" s="45">
        <f ca="1">ROUNDUP(INDIRECT("I" &amp; (25+FA$67))*$F$16/2.5, 0)*2.5</f>
        <v>0</v>
      </c>
      <c r="FB81" s="36">
        <v>2</v>
      </c>
      <c r="FC81" s="36"/>
      <c r="FD81" s="36"/>
      <c r="FE81" s="45">
        <f ca="1">ROUNDUP(INDIRECT("I" &amp; (25+FA$67))*$F$32/2.5, 0)*2.5</f>
        <v>0</v>
      </c>
      <c r="FF81" s="38">
        <v>2</v>
      </c>
      <c r="FG81" s="38"/>
      <c r="FH81" s="36"/>
      <c r="FI81" s="45">
        <f t="shared" ref="FI81:FI82" ca="1" si="38">ROUNDUP(INDIRECT("I" &amp; (25+FA$67))*$F$46/2.5, 0)*2.5</f>
        <v>0</v>
      </c>
      <c r="FJ81" s="38">
        <v>2</v>
      </c>
      <c r="FK81" s="38"/>
      <c r="FL81" s="35"/>
      <c r="FM81" s="86"/>
    </row>
    <row r="82" spans="1:169" ht="15.75" customHeight="1">
      <c r="A82" s="86"/>
      <c r="C82" s="39"/>
      <c r="D82" s="39"/>
      <c r="E82" s="39"/>
      <c r="F82" s="36"/>
      <c r="G82" s="45">
        <f ca="1">ROUNDUP(INDIRECT("I" &amp; (25+C$67))*$F$32/2.5, 0)*2.5</f>
        <v>0</v>
      </c>
      <c r="H82" s="38">
        <v>3</v>
      </c>
      <c r="I82" s="38"/>
      <c r="J82" s="36"/>
      <c r="K82" s="45">
        <f t="shared" ca="1" si="27"/>
        <v>0</v>
      </c>
      <c r="L82" s="38">
        <v>3</v>
      </c>
      <c r="M82" s="38"/>
      <c r="O82" s="86"/>
      <c r="Q82" s="39"/>
      <c r="R82" s="39"/>
      <c r="S82" s="39"/>
      <c r="T82" s="36"/>
      <c r="U82" s="45">
        <f ca="1">ROUNDUP(INDIRECT("I" &amp; (25+Q$67))*$F$32/2.5, 0)*2.5</f>
        <v>0</v>
      </c>
      <c r="V82" s="38">
        <v>3</v>
      </c>
      <c r="W82" s="38"/>
      <c r="X82" s="36"/>
      <c r="Y82" s="45">
        <f t="shared" ca="1" si="28"/>
        <v>0</v>
      </c>
      <c r="Z82" s="38">
        <v>3</v>
      </c>
      <c r="AA82" s="38"/>
      <c r="AC82" s="86"/>
      <c r="AD82" s="35"/>
      <c r="AE82" s="39"/>
      <c r="AF82" s="39"/>
      <c r="AG82" s="39"/>
      <c r="AH82" s="36"/>
      <c r="AI82" s="45">
        <f ca="1">ROUNDUP(INDIRECT("I" &amp; (25+AE$67))*$F$32/2.5, 0)*2.5</f>
        <v>0</v>
      </c>
      <c r="AJ82" s="38">
        <v>3</v>
      </c>
      <c r="AK82" s="38"/>
      <c r="AL82" s="36"/>
      <c r="AM82" s="45">
        <f t="shared" ca="1" si="29"/>
        <v>0</v>
      </c>
      <c r="AN82" s="38">
        <v>3</v>
      </c>
      <c r="AO82" s="38"/>
      <c r="AP82" s="35"/>
      <c r="AQ82" s="86"/>
      <c r="AR82" s="35"/>
      <c r="AS82" s="39"/>
      <c r="AT82" s="39"/>
      <c r="AU82" s="39"/>
      <c r="AV82" s="36"/>
      <c r="AW82" s="45">
        <f ca="1">ROUNDUP(INDIRECT("I" &amp; (25+AS$67))*$F$32/2.5, 0)*2.5</f>
        <v>0</v>
      </c>
      <c r="AX82" s="38">
        <v>3</v>
      </c>
      <c r="AY82" s="38"/>
      <c r="AZ82" s="36"/>
      <c r="BA82" s="45">
        <f t="shared" ca="1" si="30"/>
        <v>0</v>
      </c>
      <c r="BB82" s="38">
        <v>3</v>
      </c>
      <c r="BC82" s="38"/>
      <c r="BD82" s="35"/>
      <c r="BE82" s="86"/>
      <c r="BF82" s="35"/>
      <c r="BG82" s="39"/>
      <c r="BH82" s="39"/>
      <c r="BI82" s="39"/>
      <c r="BJ82" s="36"/>
      <c r="BK82" s="45">
        <f ca="1">ROUNDUP(INDIRECT("I" &amp; (25+BG$67))*$F$32/2.5, 0)*2.5</f>
        <v>0</v>
      </c>
      <c r="BL82" s="38">
        <v>3</v>
      </c>
      <c r="BM82" s="38"/>
      <c r="BN82" s="36"/>
      <c r="BO82" s="45">
        <f t="shared" ca="1" si="31"/>
        <v>0</v>
      </c>
      <c r="BP82" s="38">
        <v>3</v>
      </c>
      <c r="BQ82" s="38"/>
      <c r="BR82" s="35"/>
      <c r="BS82" s="86"/>
      <c r="BT82" s="35"/>
      <c r="BU82" s="39"/>
      <c r="BV82" s="39"/>
      <c r="BW82" s="39"/>
      <c r="BX82" s="36"/>
      <c r="BY82" s="45">
        <f ca="1">ROUNDUP(INDIRECT("I" &amp; (25+BU$67))*$F$32/2.5, 0)*2.5</f>
        <v>0</v>
      </c>
      <c r="BZ82" s="38">
        <v>3</v>
      </c>
      <c r="CA82" s="38"/>
      <c r="CB82" s="36"/>
      <c r="CC82" s="45">
        <f t="shared" ca="1" si="32"/>
        <v>0</v>
      </c>
      <c r="CD82" s="38">
        <v>3</v>
      </c>
      <c r="CE82" s="38"/>
      <c r="CF82" s="35"/>
      <c r="CG82" s="86"/>
      <c r="CH82" s="35"/>
      <c r="CI82" s="39"/>
      <c r="CJ82" s="39"/>
      <c r="CK82" s="39"/>
      <c r="CL82" s="36"/>
      <c r="CM82" s="45">
        <f ca="1">ROUNDUP(INDIRECT("I" &amp; (25+CI$67))*$F$32/2.5, 0)*2.5</f>
        <v>0</v>
      </c>
      <c r="CN82" s="38">
        <v>3</v>
      </c>
      <c r="CO82" s="38"/>
      <c r="CP82" s="36"/>
      <c r="CQ82" s="45">
        <f t="shared" ca="1" si="33"/>
        <v>0</v>
      </c>
      <c r="CR82" s="38">
        <v>3</v>
      </c>
      <c r="CS82" s="38"/>
      <c r="CT82" s="35"/>
      <c r="CU82" s="86"/>
      <c r="CV82" s="35"/>
      <c r="CW82" s="39"/>
      <c r="CX82" s="39"/>
      <c r="CY82" s="39"/>
      <c r="CZ82" s="36"/>
      <c r="DA82" s="45">
        <f ca="1">ROUNDUP(INDIRECT("I" &amp; (25+CW$67))*$F$32/2.5, 0)*2.5</f>
        <v>0</v>
      </c>
      <c r="DB82" s="38">
        <v>3</v>
      </c>
      <c r="DC82" s="38"/>
      <c r="DD82" s="36"/>
      <c r="DE82" s="45">
        <f t="shared" ca="1" si="34"/>
        <v>0</v>
      </c>
      <c r="DF82" s="38">
        <v>3</v>
      </c>
      <c r="DG82" s="38"/>
      <c r="DH82" s="35"/>
      <c r="DI82" s="86"/>
      <c r="DJ82" s="35"/>
      <c r="DK82" s="39"/>
      <c r="DL82" s="39"/>
      <c r="DM82" s="39"/>
      <c r="DN82" s="36"/>
      <c r="DO82" s="45">
        <f ca="1">ROUNDUP(INDIRECT("I" &amp; (25+DK$67))*$F$32/2.5, 0)*2.5</f>
        <v>0</v>
      </c>
      <c r="DP82" s="38">
        <v>3</v>
      </c>
      <c r="DQ82" s="38"/>
      <c r="DR82" s="36"/>
      <c r="DS82" s="45">
        <f t="shared" ca="1" si="35"/>
        <v>0</v>
      </c>
      <c r="DT82" s="38">
        <v>3</v>
      </c>
      <c r="DU82" s="38"/>
      <c r="DV82" s="35"/>
      <c r="DW82" s="86"/>
      <c r="DX82" s="35"/>
      <c r="DY82" s="39"/>
      <c r="DZ82" s="39"/>
      <c r="EA82" s="39"/>
      <c r="EB82" s="36"/>
      <c r="EC82" s="45">
        <f ca="1">ROUNDUP(INDIRECT("I" &amp; (25+DY$67))*$F$32/2.5, 0)*2.5</f>
        <v>0</v>
      </c>
      <c r="ED82" s="38">
        <v>3</v>
      </c>
      <c r="EE82" s="38"/>
      <c r="EF82" s="36"/>
      <c r="EG82" s="45">
        <f t="shared" ca="1" si="36"/>
        <v>0</v>
      </c>
      <c r="EH82" s="38">
        <v>3</v>
      </c>
      <c r="EI82" s="38"/>
      <c r="EJ82" s="35"/>
      <c r="EK82" s="86"/>
      <c r="EL82" s="35"/>
      <c r="EM82" s="39"/>
      <c r="EN82" s="39"/>
      <c r="EO82" s="39"/>
      <c r="EP82" s="36"/>
      <c r="EQ82" s="45">
        <f ca="1">ROUNDUP(INDIRECT("I" &amp; (25+EM$67))*$F$32/2.5, 0)*2.5</f>
        <v>0</v>
      </c>
      <c r="ER82" s="38">
        <v>3</v>
      </c>
      <c r="ES82" s="38"/>
      <c r="ET82" s="36"/>
      <c r="EU82" s="45">
        <f t="shared" ca="1" si="37"/>
        <v>0</v>
      </c>
      <c r="EV82" s="38">
        <v>3</v>
      </c>
      <c r="EW82" s="38"/>
      <c r="EX82" s="35"/>
      <c r="EY82" s="86"/>
      <c r="EZ82" s="35"/>
      <c r="FA82" s="39"/>
      <c r="FB82" s="39"/>
      <c r="FC82" s="39"/>
      <c r="FD82" s="36"/>
      <c r="FE82" s="45">
        <f ca="1">ROUNDUP(INDIRECT("I" &amp; (25+FA$67))*$F$32/2.5, 0)*2.5</f>
        <v>0</v>
      </c>
      <c r="FF82" s="38">
        <v>3</v>
      </c>
      <c r="FG82" s="38"/>
      <c r="FH82" s="36"/>
      <c r="FI82" s="45">
        <f t="shared" ca="1" si="38"/>
        <v>0</v>
      </c>
      <c r="FJ82" s="38">
        <v>3</v>
      </c>
      <c r="FK82" s="38"/>
      <c r="FL82" s="35"/>
      <c r="FM82" s="86"/>
    </row>
    <row r="83" spans="1:169" ht="15.75" customHeight="1">
      <c r="A83" s="86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27"/>
      <c r="O83" s="86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27"/>
      <c r="AC83" s="86"/>
      <c r="AD83" s="35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27"/>
      <c r="AQ83" s="86"/>
      <c r="AR83" s="35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27"/>
      <c r="BE83" s="86"/>
      <c r="BF83" s="35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27"/>
      <c r="BS83" s="86"/>
      <c r="BT83" s="35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27"/>
      <c r="CG83" s="86"/>
      <c r="CH83" s="35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27"/>
      <c r="CU83" s="86"/>
      <c r="CV83" s="35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27"/>
      <c r="DI83" s="86"/>
      <c r="DJ83" s="35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27"/>
      <c r="DW83" s="86"/>
      <c r="DX83" s="35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27"/>
      <c r="EK83" s="86"/>
      <c r="EL83" s="35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27"/>
      <c r="EY83" s="86"/>
      <c r="EZ83" s="35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27"/>
      <c r="FM83" s="86"/>
    </row>
    <row r="84" spans="1:169" ht="15.75" customHeight="1">
      <c r="A84" s="86"/>
      <c r="C84" s="70" t="s">
        <v>44</v>
      </c>
      <c r="D84" s="59"/>
      <c r="E84" s="59"/>
      <c r="F84" s="36"/>
      <c r="G84" s="78" t="s">
        <v>24</v>
      </c>
      <c r="H84" s="72"/>
      <c r="I84" s="73"/>
      <c r="J84" s="41"/>
      <c r="K84" s="70" t="s">
        <v>45</v>
      </c>
      <c r="L84" s="59"/>
      <c r="M84" s="59"/>
      <c r="N84" s="29"/>
      <c r="O84" s="86"/>
      <c r="Q84" s="70" t="s">
        <v>44</v>
      </c>
      <c r="R84" s="59"/>
      <c r="S84" s="59"/>
      <c r="T84" s="36"/>
      <c r="U84" s="78" t="s">
        <v>24</v>
      </c>
      <c r="V84" s="72"/>
      <c r="W84" s="73"/>
      <c r="X84" s="41"/>
      <c r="Y84" s="70" t="s">
        <v>45</v>
      </c>
      <c r="Z84" s="59"/>
      <c r="AA84" s="59"/>
      <c r="AB84" s="29"/>
      <c r="AC84" s="86"/>
      <c r="AD84" s="35"/>
      <c r="AE84" s="70" t="s">
        <v>44</v>
      </c>
      <c r="AF84" s="59"/>
      <c r="AG84" s="59"/>
      <c r="AH84" s="36"/>
      <c r="AI84" s="78" t="s">
        <v>24</v>
      </c>
      <c r="AJ84" s="72"/>
      <c r="AK84" s="73"/>
      <c r="AL84" s="41"/>
      <c r="AM84" s="70" t="s">
        <v>45</v>
      </c>
      <c r="AN84" s="59"/>
      <c r="AO84" s="59"/>
      <c r="AP84" s="29"/>
      <c r="AQ84" s="86"/>
      <c r="AR84" s="35"/>
      <c r="AS84" s="70" t="s">
        <v>44</v>
      </c>
      <c r="AT84" s="59"/>
      <c r="AU84" s="59"/>
      <c r="AV84" s="36"/>
      <c r="AW84" s="78" t="s">
        <v>24</v>
      </c>
      <c r="AX84" s="72"/>
      <c r="AY84" s="73"/>
      <c r="AZ84" s="41"/>
      <c r="BA84" s="70" t="s">
        <v>45</v>
      </c>
      <c r="BB84" s="59"/>
      <c r="BC84" s="59"/>
      <c r="BD84" s="29"/>
      <c r="BE84" s="86"/>
      <c r="BF84" s="35"/>
      <c r="BG84" s="70" t="s">
        <v>44</v>
      </c>
      <c r="BH84" s="59"/>
      <c r="BI84" s="59"/>
      <c r="BJ84" s="36"/>
      <c r="BK84" s="78" t="s">
        <v>24</v>
      </c>
      <c r="BL84" s="72"/>
      <c r="BM84" s="73"/>
      <c r="BN84" s="41"/>
      <c r="BO84" s="70" t="s">
        <v>45</v>
      </c>
      <c r="BP84" s="59"/>
      <c r="BQ84" s="59"/>
      <c r="BR84" s="29"/>
      <c r="BS84" s="86"/>
      <c r="BT84" s="35"/>
      <c r="BU84" s="70" t="s">
        <v>44</v>
      </c>
      <c r="BV84" s="59"/>
      <c r="BW84" s="59"/>
      <c r="BX84" s="36"/>
      <c r="BY84" s="78" t="s">
        <v>24</v>
      </c>
      <c r="BZ84" s="72"/>
      <c r="CA84" s="73"/>
      <c r="CB84" s="41"/>
      <c r="CC84" s="70" t="s">
        <v>45</v>
      </c>
      <c r="CD84" s="59"/>
      <c r="CE84" s="59"/>
      <c r="CF84" s="29"/>
      <c r="CG84" s="86"/>
      <c r="CH84" s="35"/>
      <c r="CI84" s="70" t="s">
        <v>44</v>
      </c>
      <c r="CJ84" s="59"/>
      <c r="CK84" s="59"/>
      <c r="CL84" s="36"/>
      <c r="CM84" s="78" t="s">
        <v>24</v>
      </c>
      <c r="CN84" s="72"/>
      <c r="CO84" s="73"/>
      <c r="CP84" s="41"/>
      <c r="CQ84" s="70" t="s">
        <v>45</v>
      </c>
      <c r="CR84" s="59"/>
      <c r="CS84" s="59"/>
      <c r="CT84" s="29"/>
      <c r="CU84" s="86"/>
      <c r="CV84" s="35"/>
      <c r="CW84" s="70" t="s">
        <v>44</v>
      </c>
      <c r="CX84" s="59"/>
      <c r="CY84" s="59"/>
      <c r="CZ84" s="36"/>
      <c r="DA84" s="78" t="s">
        <v>24</v>
      </c>
      <c r="DB84" s="72"/>
      <c r="DC84" s="73"/>
      <c r="DD84" s="41"/>
      <c r="DE84" s="70" t="s">
        <v>45</v>
      </c>
      <c r="DF84" s="59"/>
      <c r="DG84" s="59"/>
      <c r="DH84" s="29"/>
      <c r="DI84" s="86"/>
      <c r="DJ84" s="35"/>
      <c r="DK84" s="70" t="s">
        <v>44</v>
      </c>
      <c r="DL84" s="59"/>
      <c r="DM84" s="59"/>
      <c r="DN84" s="36"/>
      <c r="DO84" s="78" t="s">
        <v>24</v>
      </c>
      <c r="DP84" s="72"/>
      <c r="DQ84" s="73"/>
      <c r="DR84" s="41"/>
      <c r="DS84" s="70" t="s">
        <v>45</v>
      </c>
      <c r="DT84" s="59"/>
      <c r="DU84" s="59"/>
      <c r="DV84" s="29"/>
      <c r="DW84" s="86"/>
      <c r="DX84" s="35"/>
      <c r="DY84" s="70" t="s">
        <v>44</v>
      </c>
      <c r="DZ84" s="59"/>
      <c r="EA84" s="59"/>
      <c r="EB84" s="36"/>
      <c r="EC84" s="78" t="s">
        <v>24</v>
      </c>
      <c r="ED84" s="72"/>
      <c r="EE84" s="73"/>
      <c r="EF84" s="41"/>
      <c r="EG84" s="70" t="s">
        <v>45</v>
      </c>
      <c r="EH84" s="59"/>
      <c r="EI84" s="59"/>
      <c r="EJ84" s="29"/>
      <c r="EK84" s="86"/>
      <c r="EL84" s="35"/>
      <c r="EM84" s="70" t="s">
        <v>44</v>
      </c>
      <c r="EN84" s="59"/>
      <c r="EO84" s="59"/>
      <c r="EP84" s="36"/>
      <c r="EQ84" s="78" t="s">
        <v>24</v>
      </c>
      <c r="ER84" s="72"/>
      <c r="ES84" s="73"/>
      <c r="ET84" s="41"/>
      <c r="EU84" s="70" t="s">
        <v>45</v>
      </c>
      <c r="EV84" s="59"/>
      <c r="EW84" s="59"/>
      <c r="EX84" s="29"/>
      <c r="EY84" s="86"/>
      <c r="EZ84" s="35"/>
      <c r="FA84" s="70" t="s">
        <v>44</v>
      </c>
      <c r="FB84" s="59"/>
      <c r="FC84" s="59"/>
      <c r="FD84" s="36"/>
      <c r="FE84" s="78" t="s">
        <v>24</v>
      </c>
      <c r="FF84" s="72"/>
      <c r="FG84" s="73"/>
      <c r="FH84" s="41"/>
      <c r="FI84" s="70" t="s">
        <v>45</v>
      </c>
      <c r="FJ84" s="59"/>
      <c r="FK84" s="59"/>
      <c r="FL84" s="29"/>
      <c r="FM84" s="86"/>
    </row>
    <row r="85" spans="1:169" ht="15.75" customHeight="1">
      <c r="A85" s="86"/>
      <c r="B85" s="30"/>
      <c r="C85" s="37" t="s">
        <v>4</v>
      </c>
      <c r="D85" s="38" t="s">
        <v>38</v>
      </c>
      <c r="E85" s="38" t="s">
        <v>39</v>
      </c>
      <c r="F85" s="36"/>
      <c r="G85" s="38" t="s">
        <v>4</v>
      </c>
      <c r="H85" s="38" t="s">
        <v>38</v>
      </c>
      <c r="I85" s="38" t="s">
        <v>39</v>
      </c>
      <c r="J85" s="41"/>
      <c r="K85" s="39" t="s">
        <v>4</v>
      </c>
      <c r="L85" s="39" t="s">
        <v>38</v>
      </c>
      <c r="M85" s="39" t="s">
        <v>39</v>
      </c>
      <c r="N85" s="29"/>
      <c r="O85" s="86"/>
      <c r="Q85" s="37" t="s">
        <v>4</v>
      </c>
      <c r="R85" s="38" t="s">
        <v>38</v>
      </c>
      <c r="S85" s="38" t="s">
        <v>39</v>
      </c>
      <c r="T85" s="36"/>
      <c r="U85" s="38" t="s">
        <v>4</v>
      </c>
      <c r="V85" s="38" t="s">
        <v>38</v>
      </c>
      <c r="W85" s="38" t="s">
        <v>39</v>
      </c>
      <c r="X85" s="41"/>
      <c r="Y85" s="39" t="s">
        <v>4</v>
      </c>
      <c r="Z85" s="39" t="s">
        <v>38</v>
      </c>
      <c r="AA85" s="39" t="s">
        <v>39</v>
      </c>
      <c r="AB85" s="29"/>
      <c r="AC85" s="86"/>
      <c r="AD85" s="35"/>
      <c r="AE85" s="37" t="s">
        <v>4</v>
      </c>
      <c r="AF85" s="38" t="s">
        <v>38</v>
      </c>
      <c r="AG85" s="38" t="s">
        <v>39</v>
      </c>
      <c r="AH85" s="36"/>
      <c r="AI85" s="38" t="s">
        <v>4</v>
      </c>
      <c r="AJ85" s="38" t="s">
        <v>38</v>
      </c>
      <c r="AK85" s="38" t="s">
        <v>39</v>
      </c>
      <c r="AL85" s="41"/>
      <c r="AM85" s="39" t="s">
        <v>4</v>
      </c>
      <c r="AN85" s="39" t="s">
        <v>38</v>
      </c>
      <c r="AO85" s="39" t="s">
        <v>39</v>
      </c>
      <c r="AP85" s="29"/>
      <c r="AQ85" s="86"/>
      <c r="AR85" s="35"/>
      <c r="AS85" s="37" t="s">
        <v>4</v>
      </c>
      <c r="AT85" s="38" t="s">
        <v>38</v>
      </c>
      <c r="AU85" s="38" t="s">
        <v>39</v>
      </c>
      <c r="AV85" s="36"/>
      <c r="AW85" s="38" t="s">
        <v>4</v>
      </c>
      <c r="AX85" s="38" t="s">
        <v>38</v>
      </c>
      <c r="AY85" s="38" t="s">
        <v>39</v>
      </c>
      <c r="AZ85" s="41"/>
      <c r="BA85" s="39" t="s">
        <v>4</v>
      </c>
      <c r="BB85" s="39" t="s">
        <v>38</v>
      </c>
      <c r="BC85" s="39" t="s">
        <v>39</v>
      </c>
      <c r="BD85" s="29"/>
      <c r="BE85" s="86"/>
      <c r="BF85" s="35"/>
      <c r="BG85" s="37" t="s">
        <v>4</v>
      </c>
      <c r="BH85" s="38" t="s">
        <v>38</v>
      </c>
      <c r="BI85" s="38" t="s">
        <v>39</v>
      </c>
      <c r="BJ85" s="36"/>
      <c r="BK85" s="38" t="s">
        <v>4</v>
      </c>
      <c r="BL85" s="38" t="s">
        <v>38</v>
      </c>
      <c r="BM85" s="38" t="s">
        <v>39</v>
      </c>
      <c r="BN85" s="41"/>
      <c r="BO85" s="39" t="s">
        <v>4</v>
      </c>
      <c r="BP85" s="39" t="s">
        <v>38</v>
      </c>
      <c r="BQ85" s="39" t="s">
        <v>39</v>
      </c>
      <c r="BR85" s="29"/>
      <c r="BS85" s="86"/>
      <c r="BT85" s="35"/>
      <c r="BU85" s="37" t="s">
        <v>4</v>
      </c>
      <c r="BV85" s="38" t="s">
        <v>38</v>
      </c>
      <c r="BW85" s="38" t="s">
        <v>39</v>
      </c>
      <c r="BX85" s="36"/>
      <c r="BY85" s="38" t="s">
        <v>4</v>
      </c>
      <c r="BZ85" s="38" t="s">
        <v>38</v>
      </c>
      <c r="CA85" s="38" t="s">
        <v>39</v>
      </c>
      <c r="CB85" s="41"/>
      <c r="CC85" s="39" t="s">
        <v>4</v>
      </c>
      <c r="CD85" s="39" t="s">
        <v>38</v>
      </c>
      <c r="CE85" s="39" t="s">
        <v>39</v>
      </c>
      <c r="CF85" s="29"/>
      <c r="CG85" s="86"/>
      <c r="CH85" s="35"/>
      <c r="CI85" s="37" t="s">
        <v>4</v>
      </c>
      <c r="CJ85" s="38" t="s">
        <v>38</v>
      </c>
      <c r="CK85" s="38" t="s">
        <v>39</v>
      </c>
      <c r="CL85" s="36"/>
      <c r="CM85" s="38" t="s">
        <v>4</v>
      </c>
      <c r="CN85" s="38" t="s">
        <v>38</v>
      </c>
      <c r="CO85" s="38" t="s">
        <v>39</v>
      </c>
      <c r="CP85" s="41"/>
      <c r="CQ85" s="39" t="s">
        <v>4</v>
      </c>
      <c r="CR85" s="39" t="s">
        <v>38</v>
      </c>
      <c r="CS85" s="39" t="s">
        <v>39</v>
      </c>
      <c r="CT85" s="29"/>
      <c r="CU85" s="86"/>
      <c r="CV85" s="35"/>
      <c r="CW85" s="37" t="s">
        <v>4</v>
      </c>
      <c r="CX85" s="38" t="s">
        <v>38</v>
      </c>
      <c r="CY85" s="38" t="s">
        <v>39</v>
      </c>
      <c r="CZ85" s="36"/>
      <c r="DA85" s="38" t="s">
        <v>4</v>
      </c>
      <c r="DB85" s="38" t="s">
        <v>38</v>
      </c>
      <c r="DC85" s="38" t="s">
        <v>39</v>
      </c>
      <c r="DD85" s="41"/>
      <c r="DE85" s="39" t="s">
        <v>4</v>
      </c>
      <c r="DF85" s="39" t="s">
        <v>38</v>
      </c>
      <c r="DG85" s="39" t="s">
        <v>39</v>
      </c>
      <c r="DH85" s="29"/>
      <c r="DI85" s="86"/>
      <c r="DJ85" s="35"/>
      <c r="DK85" s="37" t="s">
        <v>4</v>
      </c>
      <c r="DL85" s="38" t="s">
        <v>38</v>
      </c>
      <c r="DM85" s="38" t="s">
        <v>39</v>
      </c>
      <c r="DN85" s="36"/>
      <c r="DO85" s="38" t="s">
        <v>4</v>
      </c>
      <c r="DP85" s="38" t="s">
        <v>38</v>
      </c>
      <c r="DQ85" s="38" t="s">
        <v>39</v>
      </c>
      <c r="DR85" s="41"/>
      <c r="DS85" s="39" t="s">
        <v>4</v>
      </c>
      <c r="DT85" s="39" t="s">
        <v>38</v>
      </c>
      <c r="DU85" s="39" t="s">
        <v>39</v>
      </c>
      <c r="DV85" s="29"/>
      <c r="DW85" s="86"/>
      <c r="DX85" s="35"/>
      <c r="DY85" s="37" t="s">
        <v>4</v>
      </c>
      <c r="DZ85" s="38" t="s">
        <v>38</v>
      </c>
      <c r="EA85" s="38" t="s">
        <v>39</v>
      </c>
      <c r="EB85" s="36"/>
      <c r="EC85" s="38" t="s">
        <v>4</v>
      </c>
      <c r="ED85" s="38" t="s">
        <v>38</v>
      </c>
      <c r="EE85" s="38" t="s">
        <v>39</v>
      </c>
      <c r="EF85" s="41"/>
      <c r="EG85" s="39" t="s">
        <v>4</v>
      </c>
      <c r="EH85" s="39" t="s">
        <v>38</v>
      </c>
      <c r="EI85" s="39" t="s">
        <v>39</v>
      </c>
      <c r="EJ85" s="29"/>
      <c r="EK85" s="86"/>
      <c r="EL85" s="35"/>
      <c r="EM85" s="37" t="s">
        <v>4</v>
      </c>
      <c r="EN85" s="38" t="s">
        <v>38</v>
      </c>
      <c r="EO85" s="38" t="s">
        <v>39</v>
      </c>
      <c r="EP85" s="36"/>
      <c r="EQ85" s="38" t="s">
        <v>4</v>
      </c>
      <c r="ER85" s="38" t="s">
        <v>38</v>
      </c>
      <c r="ES85" s="38" t="s">
        <v>39</v>
      </c>
      <c r="ET85" s="41"/>
      <c r="EU85" s="39" t="s">
        <v>4</v>
      </c>
      <c r="EV85" s="39" t="s">
        <v>38</v>
      </c>
      <c r="EW85" s="39" t="s">
        <v>39</v>
      </c>
      <c r="EX85" s="29"/>
      <c r="EY85" s="86"/>
      <c r="EZ85" s="35"/>
      <c r="FA85" s="37" t="s">
        <v>4</v>
      </c>
      <c r="FB85" s="38" t="s">
        <v>38</v>
      </c>
      <c r="FC85" s="38" t="s">
        <v>39</v>
      </c>
      <c r="FD85" s="36"/>
      <c r="FE85" s="38" t="s">
        <v>4</v>
      </c>
      <c r="FF85" s="38" t="s">
        <v>38</v>
      </c>
      <c r="FG85" s="38" t="s">
        <v>39</v>
      </c>
      <c r="FH85" s="41"/>
      <c r="FI85" s="39" t="s">
        <v>4</v>
      </c>
      <c r="FJ85" s="39" t="s">
        <v>38</v>
      </c>
      <c r="FK85" s="39" t="s">
        <v>39</v>
      </c>
      <c r="FL85" s="29"/>
      <c r="FM85" s="86"/>
    </row>
    <row r="86" spans="1:169" ht="15.75" customHeight="1">
      <c r="A86" s="86"/>
      <c r="C86" s="45">
        <f ca="1">ROUNDUP(INDIRECT("I" &amp; (25+C$67))*$F$17/2.5, 0)*2.5</f>
        <v>0</v>
      </c>
      <c r="D86" s="38">
        <v>1</v>
      </c>
      <c r="E86" s="38"/>
      <c r="F86" s="30" t="str">
        <f>"берем около " &amp; INT(0.6*F33)&amp; "кг"</f>
        <v>берем около 0кг</v>
      </c>
      <c r="G86" s="46"/>
      <c r="H86" s="38">
        <v>1</v>
      </c>
      <c r="I86" s="38"/>
      <c r="J86" s="41"/>
      <c r="K86" s="33" t="e">
        <f ca="1">ROUNDUP(INDIRECT("I" &amp; (25+C$67))*$F$47/$T$17, 0)*$T$17</f>
        <v>#DIV/0!</v>
      </c>
      <c r="L86" s="39">
        <v>1</v>
      </c>
      <c r="M86" s="39"/>
      <c r="N86" s="29"/>
      <c r="O86" s="86"/>
      <c r="Q86" s="45">
        <f ca="1">ROUNDUP(INDIRECT("I" &amp; (25+Q$67))*$F$17/2.5, 0)*2.5</f>
        <v>0</v>
      </c>
      <c r="R86" s="38">
        <v>1</v>
      </c>
      <c r="S86" s="38"/>
      <c r="T86" s="30"/>
      <c r="U86" s="47" t="str">
        <f>IF(I86="", "", IF(I86&gt;12, G86+$T$17, IF(I86&lt;10, G86-$T$17, G86)))</f>
        <v/>
      </c>
      <c r="V86" s="38">
        <v>1</v>
      </c>
      <c r="W86" s="38"/>
      <c r="X86" s="41"/>
      <c r="Y86" s="33" t="e">
        <f ca="1">ROUNDUP(INDIRECT("I" &amp; (25+Q$67))*$F$47/$T$17, 0)*$T$17</f>
        <v>#DIV/0!</v>
      </c>
      <c r="Z86" s="39">
        <v>1</v>
      </c>
      <c r="AA86" s="39"/>
      <c r="AB86" s="29"/>
      <c r="AC86" s="86"/>
      <c r="AD86" s="35"/>
      <c r="AE86" s="45">
        <f ca="1">ROUNDUP(INDIRECT("I" &amp; (25+AE$67))*$F$17/2.5, 0)*2.5</f>
        <v>0</v>
      </c>
      <c r="AF86" s="38">
        <v>1</v>
      </c>
      <c r="AG86" s="38"/>
      <c r="AH86" s="30"/>
      <c r="AI86" s="47" t="str">
        <f>IF(W86="", "", IF(W86&gt;12, U86+$T$17, IF(W86&lt;10, U86-$T$17, U86)))</f>
        <v/>
      </c>
      <c r="AJ86" s="38">
        <v>1</v>
      </c>
      <c r="AK86" s="38"/>
      <c r="AL86" s="41"/>
      <c r="AM86" s="33" t="e">
        <f ca="1">ROUNDUP(INDIRECT("I" &amp; (25+AE$67))*$F$47/$T$17, 0)*$T$17</f>
        <v>#DIV/0!</v>
      </c>
      <c r="AN86" s="39">
        <v>1</v>
      </c>
      <c r="AO86" s="39"/>
      <c r="AP86" s="29"/>
      <c r="AQ86" s="86"/>
      <c r="AR86" s="35"/>
      <c r="AS86" s="45">
        <f ca="1">ROUNDUP(INDIRECT("I" &amp; (25+AS$67))*$F$17/2.5, 0)*2.5</f>
        <v>0</v>
      </c>
      <c r="AT86" s="38">
        <v>1</v>
      </c>
      <c r="AU86" s="38"/>
      <c r="AV86" s="30"/>
      <c r="AW86" s="47" t="str">
        <f>IF(AK86="", "", IF(AK86&gt;12, AI86+$T$17, IF(AK86&lt;10, AI86-$T$17, AI86)))</f>
        <v/>
      </c>
      <c r="AX86" s="38">
        <v>1</v>
      </c>
      <c r="AY86" s="38"/>
      <c r="AZ86" s="41"/>
      <c r="BA86" s="33" t="e">
        <f ca="1">ROUNDUP(INDIRECT("I" &amp; (25+AS$67))*$F$47/$T$17, 0)*$T$17</f>
        <v>#DIV/0!</v>
      </c>
      <c r="BB86" s="39">
        <v>1</v>
      </c>
      <c r="BC86" s="39"/>
      <c r="BD86" s="29"/>
      <c r="BE86" s="86"/>
      <c r="BF86" s="35"/>
      <c r="BG86" s="45">
        <f ca="1">ROUNDUP(INDIRECT("I" &amp; (25+BG$67))*$F$17/2.5, 0)*2.5</f>
        <v>0</v>
      </c>
      <c r="BH86" s="38">
        <v>1</v>
      </c>
      <c r="BI86" s="38"/>
      <c r="BJ86" s="30"/>
      <c r="BK86" s="47" t="str">
        <f>IF(AY86="", "", IF(AY86&gt;12, AW86+$T$17, IF(AY86&lt;10, AW86-$T$17, AW86)))</f>
        <v/>
      </c>
      <c r="BL86" s="38">
        <v>1</v>
      </c>
      <c r="BM86" s="38"/>
      <c r="BN86" s="41"/>
      <c r="BO86" s="33" t="e">
        <f ca="1">ROUNDUP(INDIRECT("I" &amp; (25+BG$67))*$F$47/$T$17, 0)*$T$17</f>
        <v>#DIV/0!</v>
      </c>
      <c r="BP86" s="39">
        <v>1</v>
      </c>
      <c r="BQ86" s="39"/>
      <c r="BR86" s="29"/>
      <c r="BS86" s="86"/>
      <c r="BT86" s="35"/>
      <c r="BU86" s="45">
        <f ca="1">ROUNDUP(INDIRECT("I" &amp; (25+BU$67))*$F$17/2.5, 0)*2.5</f>
        <v>0</v>
      </c>
      <c r="BV86" s="38">
        <v>1</v>
      </c>
      <c r="BW86" s="38"/>
      <c r="BX86" s="30"/>
      <c r="BY86" s="47" t="str">
        <f>IF(BM86="", "", IF(BM86&gt;12, BK86+$T$17, IF(BM86&lt;10, BK86-$T$17, BK86)))</f>
        <v/>
      </c>
      <c r="BZ86" s="38">
        <v>1</v>
      </c>
      <c r="CA86" s="38"/>
      <c r="CB86" s="41"/>
      <c r="CC86" s="33" t="e">
        <f ca="1">ROUNDUP(INDIRECT("I" &amp; (25+BU$67))*$F$47/$T$17, 0)*$T$17</f>
        <v>#DIV/0!</v>
      </c>
      <c r="CD86" s="39">
        <v>1</v>
      </c>
      <c r="CE86" s="39"/>
      <c r="CF86" s="29"/>
      <c r="CG86" s="86"/>
      <c r="CH86" s="35"/>
      <c r="CI86" s="45">
        <f ca="1">ROUNDUP(INDIRECT("I" &amp; (25+CI$67))*$F$17/2.5, 0)*2.5</f>
        <v>0</v>
      </c>
      <c r="CJ86" s="38">
        <v>1</v>
      </c>
      <c r="CK86" s="38"/>
      <c r="CL86" s="30"/>
      <c r="CM86" s="47" t="str">
        <f>IF(CA86="", "", IF(CA86&gt;12, BY86+$T$17, IF(CA86&lt;10, BY86-$T$17, BY86)))</f>
        <v/>
      </c>
      <c r="CN86" s="38">
        <v>1</v>
      </c>
      <c r="CO86" s="38"/>
      <c r="CP86" s="41"/>
      <c r="CQ86" s="33" t="e">
        <f ca="1">ROUNDUP(INDIRECT("I" &amp; (25+CI$67))*$F$47/$T$17, 0)*$T$17</f>
        <v>#DIV/0!</v>
      </c>
      <c r="CR86" s="39">
        <v>1</v>
      </c>
      <c r="CS86" s="39"/>
      <c r="CT86" s="29"/>
      <c r="CU86" s="86"/>
      <c r="CV86" s="35"/>
      <c r="CW86" s="45">
        <f ca="1">ROUNDUP(INDIRECT("I" &amp; (25+CW$67))*$F$17/2.5, 0)*2.5</f>
        <v>0</v>
      </c>
      <c r="CX86" s="38">
        <v>1</v>
      </c>
      <c r="CY86" s="38"/>
      <c r="CZ86" s="30"/>
      <c r="DA86" s="47" t="str">
        <f>IF(CO86="", "", IF(CO86&gt;12, CM86+$T$17, IF(CO86&lt;10, CM86-$T$17, CM86)))</f>
        <v/>
      </c>
      <c r="DB86" s="38">
        <v>1</v>
      </c>
      <c r="DC86" s="38"/>
      <c r="DD86" s="41"/>
      <c r="DE86" s="33" t="e">
        <f ca="1">ROUNDUP(INDIRECT("I" &amp; (25+CW$67))*$F$47/$T$17, 0)*$T$17</f>
        <v>#DIV/0!</v>
      </c>
      <c r="DF86" s="39">
        <v>1</v>
      </c>
      <c r="DG86" s="39"/>
      <c r="DH86" s="29"/>
      <c r="DI86" s="86"/>
      <c r="DJ86" s="35"/>
      <c r="DK86" s="45">
        <f ca="1">ROUNDUP(INDIRECT("I" &amp; (25+DK$67))*$F$17/2.5, 0)*2.5</f>
        <v>0</v>
      </c>
      <c r="DL86" s="38">
        <v>1</v>
      </c>
      <c r="DM86" s="38"/>
      <c r="DN86" s="30"/>
      <c r="DO86" s="47" t="str">
        <f>IF(DC86="", "", IF(DC86&gt;12, DA86+$T$17, IF(DC86&lt;10, DA86-$T$17, DA86)))</f>
        <v/>
      </c>
      <c r="DP86" s="38">
        <v>1</v>
      </c>
      <c r="DQ86" s="38"/>
      <c r="DR86" s="41"/>
      <c r="DS86" s="33" t="e">
        <f ca="1">ROUNDUP(INDIRECT("I" &amp; (25+DK$67))*$F$47/$T$17, 0)*$T$17</f>
        <v>#DIV/0!</v>
      </c>
      <c r="DT86" s="39">
        <v>1</v>
      </c>
      <c r="DU86" s="39"/>
      <c r="DV86" s="29"/>
      <c r="DW86" s="86"/>
      <c r="DX86" s="35"/>
      <c r="DY86" s="45">
        <f ca="1">ROUNDUP(INDIRECT("I" &amp; (25+DY$67))*$F$17/2.5, 0)*2.5</f>
        <v>0</v>
      </c>
      <c r="DZ86" s="38">
        <v>1</v>
      </c>
      <c r="EA86" s="38"/>
      <c r="EB86" s="30"/>
      <c r="EC86" s="47" t="str">
        <f>IF(DQ86="", "", IF(DQ86&gt;12, DO86+$T$17, IF(DQ86&lt;10, DO86-$T$17, DO86)))</f>
        <v/>
      </c>
      <c r="ED86" s="38">
        <v>1</v>
      </c>
      <c r="EE86" s="38"/>
      <c r="EF86" s="41"/>
      <c r="EG86" s="33" t="e">
        <f ca="1">ROUNDUP(INDIRECT("I" &amp; (25+DY$67))*$F$47/$T$17, 0)*$T$17</f>
        <v>#DIV/0!</v>
      </c>
      <c r="EH86" s="39">
        <v>1</v>
      </c>
      <c r="EI86" s="39"/>
      <c r="EJ86" s="29"/>
      <c r="EK86" s="86"/>
      <c r="EL86" s="35"/>
      <c r="EM86" s="45">
        <f ca="1">ROUNDUP(INDIRECT("I" &amp; (25+EM$67))*$F$17/2.5, 0)*2.5</f>
        <v>0</v>
      </c>
      <c r="EN86" s="38">
        <v>1</v>
      </c>
      <c r="EO86" s="38"/>
      <c r="EP86" s="30"/>
      <c r="EQ86" s="47" t="str">
        <f>IF(EE86="", "", IF(EE86&gt;12, EC86+$T$17, IF(EE86&lt;10, EC86-$T$17, EC86)))</f>
        <v/>
      </c>
      <c r="ER86" s="38">
        <v>1</v>
      </c>
      <c r="ES86" s="38"/>
      <c r="ET86" s="41"/>
      <c r="EU86" s="33" t="e">
        <f ca="1">ROUNDUP(INDIRECT("I" &amp; (25+EM$67))*$F$47/$T$17, 0)*$T$17</f>
        <v>#DIV/0!</v>
      </c>
      <c r="EV86" s="39">
        <v>1</v>
      </c>
      <c r="EW86" s="39"/>
      <c r="EX86" s="29"/>
      <c r="EY86" s="86"/>
      <c r="EZ86" s="35"/>
      <c r="FA86" s="45">
        <f ca="1">ROUNDUP(INDIRECT("I" &amp; (25+FA$67))*$F$17/2.5, 0)*2.5</f>
        <v>0</v>
      </c>
      <c r="FB86" s="38">
        <v>1</v>
      </c>
      <c r="FC86" s="38"/>
      <c r="FD86" s="30"/>
      <c r="FE86" s="47" t="str">
        <f>IF(ES86="", "", IF(ES86&gt;12, EQ86+$T$17, IF(ES86&lt;10, EQ86-$T$17, EQ86)))</f>
        <v/>
      </c>
      <c r="FF86" s="38">
        <v>1</v>
      </c>
      <c r="FG86" s="38"/>
      <c r="FH86" s="41"/>
      <c r="FI86" s="33" t="e">
        <f ca="1">ROUNDUP(INDIRECT("I" &amp; (25+FA$67))*$F$47/$T$17, 0)*$T$17</f>
        <v>#DIV/0!</v>
      </c>
      <c r="FJ86" s="39">
        <v>1</v>
      </c>
      <c r="FK86" s="39"/>
      <c r="FL86" s="29"/>
      <c r="FM86" s="86"/>
    </row>
    <row r="87" spans="1:169" ht="15.75" customHeight="1">
      <c r="A87" s="86"/>
      <c r="C87" s="45">
        <f ca="1">ROUNDUP(INDIRECT("I" &amp; (25+C$67))*$F$17/2.5, 0)*2.5</f>
        <v>0</v>
      </c>
      <c r="D87" s="38">
        <v>2</v>
      </c>
      <c r="E87" s="38"/>
      <c r="F87" s="36"/>
      <c r="G87" s="38"/>
      <c r="H87" s="38">
        <v>2</v>
      </c>
      <c r="I87" s="38"/>
      <c r="J87" s="41"/>
      <c r="K87" s="33" t="e">
        <f ca="1">ROUNDUP(INDIRECT("I" &amp; (25+C$67))*$F$47/$T$17, 0)*$T$17</f>
        <v>#DIV/0!</v>
      </c>
      <c r="L87" s="39">
        <v>2</v>
      </c>
      <c r="M87" s="39"/>
      <c r="N87" s="29"/>
      <c r="O87" s="86"/>
      <c r="Q87" s="45">
        <f ca="1">ROUNDUP(INDIRECT("I" &amp; (25+Q$67))*$F$17/2.5, 0)*2.5</f>
        <v>0</v>
      </c>
      <c r="R87" s="38">
        <v>2</v>
      </c>
      <c r="S87" s="38"/>
      <c r="T87" s="36"/>
      <c r="U87" s="47" t="str">
        <f>IF(I86="", "", IF(I86&gt;12, G86+$T$17, IF(I86&lt;10, G86-$T$17, G86)))</f>
        <v/>
      </c>
      <c r="V87" s="38">
        <v>2</v>
      </c>
      <c r="W87" s="38"/>
      <c r="X87" s="41"/>
      <c r="Y87" s="33" t="e">
        <f ca="1">ROUNDUP(INDIRECT("I" &amp; (25+Q$67))*$F$47/$T$17, 0)*$T$17</f>
        <v>#DIV/0!</v>
      </c>
      <c r="Z87" s="39">
        <v>2</v>
      </c>
      <c r="AA87" s="39"/>
      <c r="AB87" s="29"/>
      <c r="AC87" s="86"/>
      <c r="AD87" s="35"/>
      <c r="AE87" s="45">
        <f ca="1">ROUNDUP(INDIRECT("I" &amp; (25+AE$67))*$F$17/2.5, 0)*2.5</f>
        <v>0</v>
      </c>
      <c r="AF87" s="38">
        <v>2</v>
      </c>
      <c r="AG87" s="38"/>
      <c r="AH87" s="36"/>
      <c r="AI87" s="47" t="str">
        <f>IF(W86="", "", IF(W86&gt;12, U86+$T$17, IF(W86&lt;10, U86-$T$17, U86)))</f>
        <v/>
      </c>
      <c r="AJ87" s="38">
        <v>2</v>
      </c>
      <c r="AK87" s="38"/>
      <c r="AL87" s="41"/>
      <c r="AM87" s="33" t="e">
        <f ca="1">ROUNDUP(INDIRECT("I" &amp; (25+AE$67))*$F$47/$T$17, 0)*$T$17</f>
        <v>#DIV/0!</v>
      </c>
      <c r="AN87" s="39">
        <v>2</v>
      </c>
      <c r="AO87" s="39"/>
      <c r="AP87" s="29"/>
      <c r="AQ87" s="86"/>
      <c r="AR87" s="35"/>
      <c r="AS87" s="45">
        <f ca="1">ROUNDUP(INDIRECT("I" &amp; (25+AS$67))*$F$17/2.5, 0)*2.5</f>
        <v>0</v>
      </c>
      <c r="AT87" s="38">
        <v>2</v>
      </c>
      <c r="AU87" s="38"/>
      <c r="AV87" s="36"/>
      <c r="AW87" s="47" t="str">
        <f>IF(AK86="", "", IF(AK86&gt;12, AI86+$T$17, IF(AK86&lt;10, AI86-$T$17, AI86)))</f>
        <v/>
      </c>
      <c r="AX87" s="38">
        <v>2</v>
      </c>
      <c r="AY87" s="38"/>
      <c r="AZ87" s="41"/>
      <c r="BA87" s="33" t="e">
        <f ca="1">ROUNDUP(INDIRECT("I" &amp; (25+AS$67))*$F$47/$T$17, 0)*$T$17</f>
        <v>#DIV/0!</v>
      </c>
      <c r="BB87" s="39">
        <v>2</v>
      </c>
      <c r="BC87" s="39"/>
      <c r="BD87" s="29"/>
      <c r="BE87" s="86"/>
      <c r="BF87" s="35"/>
      <c r="BG87" s="45">
        <f ca="1">ROUNDUP(INDIRECT("I" &amp; (25+BG$67))*$F$17/2.5, 0)*2.5</f>
        <v>0</v>
      </c>
      <c r="BH87" s="38">
        <v>2</v>
      </c>
      <c r="BI87" s="38"/>
      <c r="BJ87" s="36"/>
      <c r="BK87" s="47" t="str">
        <f>IF(AY86="", "", IF(AY86&gt;12, AW86+$T$17, IF(AY86&lt;10, AW86-$T$17, AW86)))</f>
        <v/>
      </c>
      <c r="BL87" s="38">
        <v>2</v>
      </c>
      <c r="BM87" s="38"/>
      <c r="BN87" s="41"/>
      <c r="BO87" s="33" t="e">
        <f ca="1">ROUNDUP(INDIRECT("I" &amp; (25+BG$67))*$F$47/$T$17, 0)*$T$17</f>
        <v>#DIV/0!</v>
      </c>
      <c r="BP87" s="39">
        <v>2</v>
      </c>
      <c r="BQ87" s="39"/>
      <c r="BR87" s="29"/>
      <c r="BS87" s="86"/>
      <c r="BT87" s="35"/>
      <c r="BU87" s="45">
        <f ca="1">ROUNDUP(INDIRECT("I" &amp; (25+BU$67))*$F$17/2.5, 0)*2.5</f>
        <v>0</v>
      </c>
      <c r="BV87" s="38">
        <v>2</v>
      </c>
      <c r="BW87" s="38"/>
      <c r="BX87" s="36"/>
      <c r="BY87" s="47" t="str">
        <f>IF(BM86="", "", IF(BM86&gt;12, BK86+$T$17, IF(BM86&lt;10, BK86-$T$17, BK86)))</f>
        <v/>
      </c>
      <c r="BZ87" s="38">
        <v>2</v>
      </c>
      <c r="CA87" s="38"/>
      <c r="CB87" s="41"/>
      <c r="CC87" s="33" t="e">
        <f ca="1">ROUNDUP(INDIRECT("I" &amp; (25+BU$67))*$F$47/$T$17, 0)*$T$17</f>
        <v>#DIV/0!</v>
      </c>
      <c r="CD87" s="39">
        <v>2</v>
      </c>
      <c r="CE87" s="39"/>
      <c r="CF87" s="29"/>
      <c r="CG87" s="86"/>
      <c r="CH87" s="35"/>
      <c r="CI87" s="45">
        <f ca="1">ROUNDUP(INDIRECT("I" &amp; (25+CI$67))*$F$17/2.5, 0)*2.5</f>
        <v>0</v>
      </c>
      <c r="CJ87" s="38">
        <v>2</v>
      </c>
      <c r="CK87" s="38"/>
      <c r="CL87" s="36"/>
      <c r="CM87" s="47" t="str">
        <f>IF(CA86="", "", IF(CA86&gt;12, BY86+$T$17, IF(CA86&lt;10, BY86-$T$17, BY86)))</f>
        <v/>
      </c>
      <c r="CN87" s="38">
        <v>2</v>
      </c>
      <c r="CO87" s="38"/>
      <c r="CP87" s="41"/>
      <c r="CQ87" s="33" t="e">
        <f ca="1">ROUNDUP(INDIRECT("I" &amp; (25+CI$67))*$F$47/$T$17, 0)*$T$17</f>
        <v>#DIV/0!</v>
      </c>
      <c r="CR87" s="39">
        <v>2</v>
      </c>
      <c r="CS87" s="39"/>
      <c r="CT87" s="29"/>
      <c r="CU87" s="86"/>
      <c r="CV87" s="35"/>
      <c r="CW87" s="45">
        <f ca="1">ROUNDUP(INDIRECT("I" &amp; (25+CW$67))*$F$17/2.5, 0)*2.5</f>
        <v>0</v>
      </c>
      <c r="CX87" s="38">
        <v>2</v>
      </c>
      <c r="CY87" s="38"/>
      <c r="CZ87" s="36"/>
      <c r="DA87" s="47" t="str">
        <f>IF(CO86="", "", IF(CO86&gt;12, CM86+$T$17, IF(CO86&lt;10, CM86-$T$17, CM86)))</f>
        <v/>
      </c>
      <c r="DB87" s="38">
        <v>2</v>
      </c>
      <c r="DC87" s="38"/>
      <c r="DD87" s="41"/>
      <c r="DE87" s="33" t="e">
        <f ca="1">ROUNDUP(INDIRECT("I" &amp; (25+CW$67))*$F$47/$T$17, 0)*$T$17</f>
        <v>#DIV/0!</v>
      </c>
      <c r="DF87" s="39">
        <v>2</v>
      </c>
      <c r="DG87" s="39"/>
      <c r="DH87" s="29"/>
      <c r="DI87" s="86"/>
      <c r="DJ87" s="35"/>
      <c r="DK87" s="45">
        <f ca="1">ROUNDUP(INDIRECT("I" &amp; (25+DK$67))*$F$17/2.5, 0)*2.5</f>
        <v>0</v>
      </c>
      <c r="DL87" s="38">
        <v>2</v>
      </c>
      <c r="DM87" s="38"/>
      <c r="DN87" s="36"/>
      <c r="DO87" s="47" t="str">
        <f>IF(DC86="", "", IF(DC86&gt;12, DA86+$T$17, IF(DC86&lt;10, DA86-$T$17, DA86)))</f>
        <v/>
      </c>
      <c r="DP87" s="38">
        <v>2</v>
      </c>
      <c r="DQ87" s="38"/>
      <c r="DR87" s="41"/>
      <c r="DS87" s="33" t="e">
        <f ca="1">ROUNDUP(INDIRECT("I" &amp; (25+DK$67))*$F$47/$T$17, 0)*$T$17</f>
        <v>#DIV/0!</v>
      </c>
      <c r="DT87" s="39">
        <v>2</v>
      </c>
      <c r="DU87" s="39"/>
      <c r="DV87" s="29"/>
      <c r="DW87" s="86"/>
      <c r="DX87" s="35"/>
      <c r="DY87" s="45">
        <f ca="1">ROUNDUP(INDIRECT("I" &amp; (25+DY$67))*$F$17/2.5, 0)*2.5</f>
        <v>0</v>
      </c>
      <c r="DZ87" s="38">
        <v>2</v>
      </c>
      <c r="EA87" s="38"/>
      <c r="EB87" s="36"/>
      <c r="EC87" s="47" t="str">
        <f>IF(DQ86="", "", IF(DQ86&gt;12, DO86+$T$17, IF(DQ86&lt;10, DO86-$T$17, DO86)))</f>
        <v/>
      </c>
      <c r="ED87" s="38">
        <v>2</v>
      </c>
      <c r="EE87" s="38"/>
      <c r="EF87" s="41"/>
      <c r="EG87" s="33" t="e">
        <f ca="1">ROUNDUP(INDIRECT("I" &amp; (25+DY$67))*$F$47/$T$17, 0)*$T$17</f>
        <v>#DIV/0!</v>
      </c>
      <c r="EH87" s="39">
        <v>2</v>
      </c>
      <c r="EI87" s="39"/>
      <c r="EJ87" s="29"/>
      <c r="EK87" s="86"/>
      <c r="EL87" s="35"/>
      <c r="EM87" s="45">
        <f ca="1">ROUNDUP(INDIRECT("I" &amp; (25+EM$67))*$F$17/2.5, 0)*2.5</f>
        <v>0</v>
      </c>
      <c r="EN87" s="38">
        <v>2</v>
      </c>
      <c r="EO87" s="38"/>
      <c r="EP87" s="36"/>
      <c r="EQ87" s="47" t="str">
        <f>IF(EE86="", "", IF(EE86&gt;12, EC86+$T$17, IF(EE86&lt;10, EC86-$T$17, EC86)))</f>
        <v/>
      </c>
      <c r="ER87" s="38">
        <v>2</v>
      </c>
      <c r="ES87" s="38"/>
      <c r="ET87" s="41"/>
      <c r="EU87" s="33" t="e">
        <f ca="1">ROUNDUP(INDIRECT("I" &amp; (25+EM$67))*$F$47/$T$17, 0)*$T$17</f>
        <v>#DIV/0!</v>
      </c>
      <c r="EV87" s="39">
        <v>2</v>
      </c>
      <c r="EW87" s="39"/>
      <c r="EX87" s="29"/>
      <c r="EY87" s="86"/>
      <c r="EZ87" s="35"/>
      <c r="FA87" s="45">
        <f ca="1">ROUNDUP(INDIRECT("I" &amp; (25+FA$67))*$F$17/2.5, 0)*2.5</f>
        <v>0</v>
      </c>
      <c r="FB87" s="38">
        <v>2</v>
      </c>
      <c r="FC87" s="38"/>
      <c r="FD87" s="36"/>
      <c r="FE87" s="47" t="str">
        <f>IF(ES86="", "", IF(ES86&gt;12, EQ86+$T$17, IF(ES86&lt;10, EQ86-$T$17, EQ86)))</f>
        <v/>
      </c>
      <c r="FF87" s="38">
        <v>2</v>
      </c>
      <c r="FG87" s="38"/>
      <c r="FH87" s="41"/>
      <c r="FI87" s="33" t="e">
        <f ca="1">ROUNDUP(INDIRECT("I" &amp; (25+FA$67))*$F$47/$T$17, 0)*$T$17</f>
        <v>#DIV/0!</v>
      </c>
      <c r="FJ87" s="39">
        <v>2</v>
      </c>
      <c r="FK87" s="39"/>
      <c r="FL87" s="29"/>
      <c r="FM87" s="86"/>
    </row>
    <row r="88" spans="1:169" ht="15.75" customHeight="1">
      <c r="A88" s="86"/>
      <c r="C88" s="45">
        <f ca="1">ROUNDUP(INDIRECT("I" &amp; (25+C$67))*$F$17/2.5, 0)*2.5</f>
        <v>0</v>
      </c>
      <c r="D88" s="38">
        <v>3</v>
      </c>
      <c r="E88" s="38"/>
      <c r="F88" s="36"/>
      <c r="G88" s="38"/>
      <c r="H88" s="38">
        <v>3</v>
      </c>
      <c r="I88" s="38"/>
      <c r="J88" s="41"/>
      <c r="K88" s="33"/>
      <c r="L88" s="39"/>
      <c r="M88" s="39"/>
      <c r="O88" s="86"/>
      <c r="Q88" s="45">
        <f ca="1">ROUNDUP(INDIRECT("I" &amp; (25+Q$67))*$F$17/2.5, 0)*2.5</f>
        <v>0</v>
      </c>
      <c r="R88" s="38">
        <v>3</v>
      </c>
      <c r="S88" s="38"/>
      <c r="T88" s="36"/>
      <c r="U88" s="47" t="str">
        <f>IF(I86="", "", IF(I86&gt;12, G86+$T$17, IF(I86&lt;10, G86-$T$17, G86)))</f>
        <v/>
      </c>
      <c r="V88" s="38">
        <v>3</v>
      </c>
      <c r="W88" s="38"/>
      <c r="X88" s="41"/>
      <c r="Y88" s="33"/>
      <c r="Z88" s="39"/>
      <c r="AA88" s="39"/>
      <c r="AC88" s="86"/>
      <c r="AD88" s="35"/>
      <c r="AE88" s="45">
        <f ca="1">ROUNDUP(INDIRECT("I" &amp; (25+AE$67))*$F$17/2.5, 0)*2.5</f>
        <v>0</v>
      </c>
      <c r="AF88" s="38">
        <v>3</v>
      </c>
      <c r="AG88" s="38"/>
      <c r="AH88" s="36"/>
      <c r="AI88" s="47" t="str">
        <f>IF(W86="", "", IF(W86&gt;12, U86+$T$17, IF(W86&lt;10, U86-$T$17, U86)))</f>
        <v/>
      </c>
      <c r="AJ88" s="38">
        <v>3</v>
      </c>
      <c r="AK88" s="38"/>
      <c r="AL88" s="41"/>
      <c r="AM88" s="33"/>
      <c r="AN88" s="39"/>
      <c r="AO88" s="39"/>
      <c r="AP88" s="35"/>
      <c r="AQ88" s="86"/>
      <c r="AR88" s="35"/>
      <c r="AS88" s="45">
        <f ca="1">ROUNDUP(INDIRECT("I" &amp; (25+AS$67))*$F$17/2.5, 0)*2.5</f>
        <v>0</v>
      </c>
      <c r="AT88" s="38">
        <v>3</v>
      </c>
      <c r="AU88" s="38"/>
      <c r="AV88" s="36"/>
      <c r="AW88" s="47" t="str">
        <f>IF(AK86="", "", IF(AK86&gt;12, AI86+$T$17, IF(AK86&lt;10, AI86-$T$17, AI86)))</f>
        <v/>
      </c>
      <c r="AX88" s="38">
        <v>3</v>
      </c>
      <c r="AY88" s="38"/>
      <c r="AZ88" s="41"/>
      <c r="BA88" s="33"/>
      <c r="BB88" s="39"/>
      <c r="BC88" s="39"/>
      <c r="BD88" s="35"/>
      <c r="BE88" s="86"/>
      <c r="BF88" s="35"/>
      <c r="BG88" s="45">
        <f ca="1">ROUNDUP(INDIRECT("I" &amp; (25+BG$67))*$F$17/2.5, 0)*2.5</f>
        <v>0</v>
      </c>
      <c r="BH88" s="38">
        <v>3</v>
      </c>
      <c r="BI88" s="38"/>
      <c r="BJ88" s="36"/>
      <c r="BK88" s="47" t="str">
        <f>IF(AY86="", "", IF(AY86&gt;12, AW86+$T$17, IF(AY86&lt;10, AW86-$T$17, AW86)))</f>
        <v/>
      </c>
      <c r="BL88" s="38">
        <v>3</v>
      </c>
      <c r="BM88" s="38"/>
      <c r="BN88" s="41"/>
      <c r="BO88" s="33"/>
      <c r="BP88" s="39"/>
      <c r="BQ88" s="39"/>
      <c r="BR88" s="35"/>
      <c r="BS88" s="86"/>
      <c r="BT88" s="35"/>
      <c r="BU88" s="45">
        <f ca="1">ROUNDUP(INDIRECT("I" &amp; (25+BU$67))*$F$17/2.5, 0)*2.5</f>
        <v>0</v>
      </c>
      <c r="BV88" s="38">
        <v>3</v>
      </c>
      <c r="BW88" s="38"/>
      <c r="BX88" s="36"/>
      <c r="BY88" s="47" t="str">
        <f>IF(BM86="", "", IF(BM86&gt;12, BK86+$T$17, IF(BM86&lt;10, BK86-$T$17, BK86)))</f>
        <v/>
      </c>
      <c r="BZ88" s="38">
        <v>3</v>
      </c>
      <c r="CA88" s="38"/>
      <c r="CB88" s="41"/>
      <c r="CC88" s="33"/>
      <c r="CD88" s="39"/>
      <c r="CE88" s="39"/>
      <c r="CF88" s="35"/>
      <c r="CG88" s="86"/>
      <c r="CH88" s="35"/>
      <c r="CI88" s="45">
        <f ca="1">ROUNDUP(INDIRECT("I" &amp; (25+CI$67))*$F$17/2.5, 0)*2.5</f>
        <v>0</v>
      </c>
      <c r="CJ88" s="38">
        <v>3</v>
      </c>
      <c r="CK88" s="38"/>
      <c r="CL88" s="36"/>
      <c r="CM88" s="47" t="str">
        <f>IF(CA86="", "", IF(CA86&gt;12, BY86+$T$17, IF(CA86&lt;10, BY86-$T$17, BY86)))</f>
        <v/>
      </c>
      <c r="CN88" s="38">
        <v>3</v>
      </c>
      <c r="CO88" s="38"/>
      <c r="CP88" s="41"/>
      <c r="CQ88" s="33"/>
      <c r="CR88" s="39"/>
      <c r="CS88" s="39"/>
      <c r="CT88" s="35"/>
      <c r="CU88" s="86"/>
      <c r="CV88" s="35"/>
      <c r="CW88" s="45">
        <f ca="1">ROUNDUP(INDIRECT("I" &amp; (25+CW$67))*$F$17/2.5, 0)*2.5</f>
        <v>0</v>
      </c>
      <c r="CX88" s="38">
        <v>3</v>
      </c>
      <c r="CY88" s="38"/>
      <c r="CZ88" s="36"/>
      <c r="DA88" s="47" t="str">
        <f>IF(CO86="", "", IF(CO86&gt;12, CM86+$T$17, IF(CO86&lt;10, CM86-$T$17, CM86)))</f>
        <v/>
      </c>
      <c r="DB88" s="38">
        <v>3</v>
      </c>
      <c r="DC88" s="38"/>
      <c r="DD88" s="41"/>
      <c r="DE88" s="33"/>
      <c r="DF88" s="39"/>
      <c r="DG88" s="39"/>
      <c r="DH88" s="35"/>
      <c r="DI88" s="86"/>
      <c r="DJ88" s="35"/>
      <c r="DK88" s="45">
        <f ca="1">ROUNDUP(INDIRECT("I" &amp; (25+DK$67))*$F$17/2.5, 0)*2.5</f>
        <v>0</v>
      </c>
      <c r="DL88" s="38">
        <v>3</v>
      </c>
      <c r="DM88" s="38"/>
      <c r="DN88" s="36"/>
      <c r="DO88" s="47" t="str">
        <f>IF(DC86="", "", IF(DC86&gt;12, DA86+$T$17, IF(DC86&lt;10, DA86-$T$17, DA86)))</f>
        <v/>
      </c>
      <c r="DP88" s="38">
        <v>3</v>
      </c>
      <c r="DQ88" s="38"/>
      <c r="DR88" s="41"/>
      <c r="DS88" s="33"/>
      <c r="DT88" s="39"/>
      <c r="DU88" s="39"/>
      <c r="DV88" s="35"/>
      <c r="DW88" s="86"/>
      <c r="DX88" s="35"/>
      <c r="DY88" s="45">
        <f ca="1">ROUNDUP(INDIRECT("I" &amp; (25+DY$67))*$F$17/2.5, 0)*2.5</f>
        <v>0</v>
      </c>
      <c r="DZ88" s="38">
        <v>3</v>
      </c>
      <c r="EA88" s="38"/>
      <c r="EB88" s="36"/>
      <c r="EC88" s="47" t="str">
        <f>IF(DQ86="", "", IF(DQ86&gt;12, DO86+$T$17, IF(DQ86&lt;10, DO86-$T$17, DO86)))</f>
        <v/>
      </c>
      <c r="ED88" s="38">
        <v>3</v>
      </c>
      <c r="EE88" s="38"/>
      <c r="EF88" s="41"/>
      <c r="EG88" s="33"/>
      <c r="EH88" s="39"/>
      <c r="EI88" s="39"/>
      <c r="EJ88" s="35"/>
      <c r="EK88" s="86"/>
      <c r="EL88" s="35"/>
      <c r="EM88" s="45">
        <f ca="1">ROUNDUP(INDIRECT("I" &amp; (25+EM$67))*$F$17/2.5, 0)*2.5</f>
        <v>0</v>
      </c>
      <c r="EN88" s="38">
        <v>3</v>
      </c>
      <c r="EO88" s="38"/>
      <c r="EP88" s="36"/>
      <c r="EQ88" s="47" t="str">
        <f>IF(EE86="", "", IF(EE86&gt;12, EC86+$T$17, IF(EE86&lt;10, EC86-$T$17, EC86)))</f>
        <v/>
      </c>
      <c r="ER88" s="38">
        <v>3</v>
      </c>
      <c r="ES88" s="38"/>
      <c r="ET88" s="41"/>
      <c r="EU88" s="33"/>
      <c r="EV88" s="39"/>
      <c r="EW88" s="39"/>
      <c r="EX88" s="35"/>
      <c r="EY88" s="86"/>
      <c r="EZ88" s="35"/>
      <c r="FA88" s="45">
        <f ca="1">ROUNDUP(INDIRECT("I" &amp; (25+FA$67))*$F$17/2.5, 0)*2.5</f>
        <v>0</v>
      </c>
      <c r="FB88" s="38">
        <v>3</v>
      </c>
      <c r="FC88" s="38"/>
      <c r="FD88" s="36"/>
      <c r="FE88" s="47" t="str">
        <f>IF(ES86="", "", IF(ES86&gt;12, EQ86+$T$17, IF(ES86&lt;10, EQ86-$T$17, EQ86)))</f>
        <v/>
      </c>
      <c r="FF88" s="38">
        <v>3</v>
      </c>
      <c r="FG88" s="38"/>
      <c r="FH88" s="41"/>
      <c r="FI88" s="33"/>
      <c r="FJ88" s="39"/>
      <c r="FK88" s="39"/>
      <c r="FL88" s="35"/>
      <c r="FM88" s="86"/>
    </row>
    <row r="89" spans="1:169" ht="15.75" customHeight="1">
      <c r="A89" s="86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27"/>
      <c r="O89" s="86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27"/>
      <c r="AC89" s="86"/>
      <c r="AD89" s="35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27"/>
      <c r="AQ89" s="86"/>
      <c r="AR89" s="35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27"/>
      <c r="BE89" s="86"/>
      <c r="BF89" s="35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27"/>
      <c r="BS89" s="86"/>
      <c r="BT89" s="35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27"/>
      <c r="CG89" s="86"/>
      <c r="CH89" s="35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27"/>
      <c r="CU89" s="86"/>
      <c r="CV89" s="35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27"/>
      <c r="DI89" s="86"/>
      <c r="DJ89" s="35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27"/>
      <c r="DW89" s="86"/>
      <c r="DX89" s="35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27"/>
      <c r="EK89" s="86"/>
      <c r="EL89" s="35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27"/>
      <c r="EY89" s="86"/>
      <c r="EZ89" s="35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27"/>
      <c r="FM89" s="86"/>
    </row>
    <row r="90" spans="1:169" ht="15.75" customHeight="1">
      <c r="A90" s="86"/>
      <c r="C90" s="70" t="s">
        <v>46</v>
      </c>
      <c r="D90" s="59"/>
      <c r="E90" s="59"/>
      <c r="F90" s="36"/>
      <c r="G90" s="66" t="s">
        <v>25</v>
      </c>
      <c r="H90" s="59"/>
      <c r="I90" s="59"/>
      <c r="J90" s="36"/>
      <c r="K90" s="74" t="s">
        <v>40</v>
      </c>
      <c r="L90" s="75"/>
      <c r="M90" s="76"/>
      <c r="N90" s="29"/>
      <c r="O90" s="86"/>
      <c r="Q90" s="70" t="s">
        <v>46</v>
      </c>
      <c r="R90" s="59"/>
      <c r="S90" s="59"/>
      <c r="T90" s="36"/>
      <c r="U90" s="66" t="s">
        <v>25</v>
      </c>
      <c r="V90" s="59"/>
      <c r="W90" s="59"/>
      <c r="X90" s="36"/>
      <c r="Y90" s="74" t="s">
        <v>40</v>
      </c>
      <c r="Z90" s="75"/>
      <c r="AA90" s="76"/>
      <c r="AB90" s="29"/>
      <c r="AC90" s="86"/>
      <c r="AD90" s="35"/>
      <c r="AE90" s="70" t="s">
        <v>46</v>
      </c>
      <c r="AF90" s="59"/>
      <c r="AG90" s="59"/>
      <c r="AH90" s="36"/>
      <c r="AI90" s="66" t="s">
        <v>25</v>
      </c>
      <c r="AJ90" s="59"/>
      <c r="AK90" s="59"/>
      <c r="AL90" s="36"/>
      <c r="AM90" s="74" t="s">
        <v>40</v>
      </c>
      <c r="AN90" s="75"/>
      <c r="AO90" s="76"/>
      <c r="AP90" s="29"/>
      <c r="AQ90" s="86"/>
      <c r="AR90" s="35"/>
      <c r="AS90" s="70" t="s">
        <v>46</v>
      </c>
      <c r="AT90" s="59"/>
      <c r="AU90" s="59"/>
      <c r="AV90" s="36"/>
      <c r="AW90" s="66" t="s">
        <v>25</v>
      </c>
      <c r="AX90" s="59"/>
      <c r="AY90" s="59"/>
      <c r="AZ90" s="36"/>
      <c r="BA90" s="74" t="s">
        <v>40</v>
      </c>
      <c r="BB90" s="75"/>
      <c r="BC90" s="76"/>
      <c r="BD90" s="29"/>
      <c r="BE90" s="86"/>
      <c r="BF90" s="35"/>
      <c r="BG90" s="70" t="s">
        <v>46</v>
      </c>
      <c r="BH90" s="59"/>
      <c r="BI90" s="59"/>
      <c r="BJ90" s="36"/>
      <c r="BK90" s="66" t="s">
        <v>25</v>
      </c>
      <c r="BL90" s="59"/>
      <c r="BM90" s="59"/>
      <c r="BN90" s="36"/>
      <c r="BO90" s="74" t="s">
        <v>40</v>
      </c>
      <c r="BP90" s="75"/>
      <c r="BQ90" s="76"/>
      <c r="BR90" s="29"/>
      <c r="BS90" s="86"/>
      <c r="BT90" s="35"/>
      <c r="BU90" s="70" t="s">
        <v>46</v>
      </c>
      <c r="BV90" s="59"/>
      <c r="BW90" s="59"/>
      <c r="BX90" s="36"/>
      <c r="BY90" s="66" t="s">
        <v>25</v>
      </c>
      <c r="BZ90" s="59"/>
      <c r="CA90" s="59"/>
      <c r="CB90" s="36"/>
      <c r="CC90" s="74" t="s">
        <v>40</v>
      </c>
      <c r="CD90" s="75"/>
      <c r="CE90" s="76"/>
      <c r="CF90" s="29"/>
      <c r="CG90" s="86"/>
      <c r="CH90" s="35"/>
      <c r="CI90" s="70" t="s">
        <v>46</v>
      </c>
      <c r="CJ90" s="59"/>
      <c r="CK90" s="59"/>
      <c r="CL90" s="36"/>
      <c r="CM90" s="66" t="s">
        <v>25</v>
      </c>
      <c r="CN90" s="59"/>
      <c r="CO90" s="59"/>
      <c r="CP90" s="36"/>
      <c r="CQ90" s="74" t="s">
        <v>40</v>
      </c>
      <c r="CR90" s="75"/>
      <c r="CS90" s="76"/>
      <c r="CT90" s="29"/>
      <c r="CU90" s="86"/>
      <c r="CV90" s="35"/>
      <c r="CW90" s="70" t="s">
        <v>46</v>
      </c>
      <c r="CX90" s="59"/>
      <c r="CY90" s="59"/>
      <c r="CZ90" s="36"/>
      <c r="DA90" s="66" t="s">
        <v>25</v>
      </c>
      <c r="DB90" s="59"/>
      <c r="DC90" s="59"/>
      <c r="DD90" s="36"/>
      <c r="DE90" s="74" t="s">
        <v>40</v>
      </c>
      <c r="DF90" s="75"/>
      <c r="DG90" s="76"/>
      <c r="DH90" s="29"/>
      <c r="DI90" s="86"/>
      <c r="DJ90" s="35"/>
      <c r="DK90" s="70" t="s">
        <v>46</v>
      </c>
      <c r="DL90" s="59"/>
      <c r="DM90" s="59"/>
      <c r="DN90" s="36"/>
      <c r="DO90" s="66" t="s">
        <v>25</v>
      </c>
      <c r="DP90" s="59"/>
      <c r="DQ90" s="59"/>
      <c r="DR90" s="36"/>
      <c r="DS90" s="74" t="s">
        <v>40</v>
      </c>
      <c r="DT90" s="75"/>
      <c r="DU90" s="76"/>
      <c r="DV90" s="29"/>
      <c r="DW90" s="86"/>
      <c r="DX90" s="35"/>
      <c r="DY90" s="70" t="s">
        <v>46</v>
      </c>
      <c r="DZ90" s="59"/>
      <c r="EA90" s="59"/>
      <c r="EB90" s="36"/>
      <c r="EC90" s="66" t="s">
        <v>25</v>
      </c>
      <c r="ED90" s="59"/>
      <c r="EE90" s="59"/>
      <c r="EF90" s="36"/>
      <c r="EG90" s="74" t="s">
        <v>40</v>
      </c>
      <c r="EH90" s="75"/>
      <c r="EI90" s="76"/>
      <c r="EJ90" s="29"/>
      <c r="EK90" s="86"/>
      <c r="EL90" s="35"/>
      <c r="EM90" s="70" t="s">
        <v>46</v>
      </c>
      <c r="EN90" s="59"/>
      <c r="EO90" s="59"/>
      <c r="EP90" s="36"/>
      <c r="EQ90" s="66" t="s">
        <v>25</v>
      </c>
      <c r="ER90" s="59"/>
      <c r="ES90" s="59"/>
      <c r="ET90" s="36"/>
      <c r="EU90" s="74" t="s">
        <v>40</v>
      </c>
      <c r="EV90" s="75"/>
      <c r="EW90" s="76"/>
      <c r="EX90" s="29"/>
      <c r="EY90" s="86"/>
      <c r="EZ90" s="35"/>
      <c r="FA90" s="70" t="s">
        <v>46</v>
      </c>
      <c r="FB90" s="59"/>
      <c r="FC90" s="59"/>
      <c r="FD90" s="36"/>
      <c r="FE90" s="66" t="s">
        <v>25</v>
      </c>
      <c r="FF90" s="59"/>
      <c r="FG90" s="59"/>
      <c r="FH90" s="36"/>
      <c r="FI90" s="74" t="s">
        <v>40</v>
      </c>
      <c r="FJ90" s="75"/>
      <c r="FK90" s="76"/>
      <c r="FL90" s="29"/>
      <c r="FM90" s="86"/>
    </row>
    <row r="91" spans="1:169" ht="15.75" customHeight="1">
      <c r="A91" s="86"/>
      <c r="C91" s="37" t="s">
        <v>4</v>
      </c>
      <c r="D91" s="38" t="s">
        <v>38</v>
      </c>
      <c r="E91" s="38" t="s">
        <v>39</v>
      </c>
      <c r="F91" s="36"/>
      <c r="G91" s="39" t="s">
        <v>4</v>
      </c>
      <c r="H91" s="39" t="s">
        <v>38</v>
      </c>
      <c r="I91" s="39" t="s">
        <v>39</v>
      </c>
      <c r="J91" s="36"/>
      <c r="K91" s="53" t="s">
        <v>4</v>
      </c>
      <c r="L91" s="53" t="s">
        <v>38</v>
      </c>
      <c r="M91" s="53" t="s">
        <v>39</v>
      </c>
      <c r="N91" s="29"/>
      <c r="O91" s="86"/>
      <c r="Q91" s="37" t="s">
        <v>4</v>
      </c>
      <c r="R91" s="38" t="s">
        <v>38</v>
      </c>
      <c r="S91" s="38" t="s">
        <v>39</v>
      </c>
      <c r="T91" s="36"/>
      <c r="U91" s="39" t="s">
        <v>4</v>
      </c>
      <c r="V91" s="39" t="s">
        <v>38</v>
      </c>
      <c r="W91" s="39" t="s">
        <v>39</v>
      </c>
      <c r="X91" s="36"/>
      <c r="Y91" s="53" t="s">
        <v>4</v>
      </c>
      <c r="Z91" s="53" t="s">
        <v>38</v>
      </c>
      <c r="AA91" s="53" t="s">
        <v>39</v>
      </c>
      <c r="AB91" s="29"/>
      <c r="AC91" s="86"/>
      <c r="AD91" s="35"/>
      <c r="AE91" s="37" t="s">
        <v>4</v>
      </c>
      <c r="AF91" s="38" t="s">
        <v>38</v>
      </c>
      <c r="AG91" s="38" t="s">
        <v>39</v>
      </c>
      <c r="AH91" s="36"/>
      <c r="AI91" s="39" t="s">
        <v>4</v>
      </c>
      <c r="AJ91" s="39" t="s">
        <v>38</v>
      </c>
      <c r="AK91" s="39" t="s">
        <v>39</v>
      </c>
      <c r="AL91" s="36"/>
      <c r="AM91" s="53" t="s">
        <v>4</v>
      </c>
      <c r="AN91" s="53" t="s">
        <v>38</v>
      </c>
      <c r="AO91" s="53" t="s">
        <v>39</v>
      </c>
      <c r="AP91" s="29"/>
      <c r="AQ91" s="86"/>
      <c r="AR91" s="35"/>
      <c r="AS91" s="37" t="s">
        <v>4</v>
      </c>
      <c r="AT91" s="38" t="s">
        <v>38</v>
      </c>
      <c r="AU91" s="38" t="s">
        <v>39</v>
      </c>
      <c r="AV91" s="36"/>
      <c r="AW91" s="39" t="s">
        <v>4</v>
      </c>
      <c r="AX91" s="39" t="s">
        <v>38</v>
      </c>
      <c r="AY91" s="39" t="s">
        <v>39</v>
      </c>
      <c r="AZ91" s="36"/>
      <c r="BA91" s="53" t="s">
        <v>4</v>
      </c>
      <c r="BB91" s="53" t="s">
        <v>38</v>
      </c>
      <c r="BC91" s="53" t="s">
        <v>39</v>
      </c>
      <c r="BD91" s="29"/>
      <c r="BE91" s="86"/>
      <c r="BF91" s="35"/>
      <c r="BG91" s="37" t="s">
        <v>4</v>
      </c>
      <c r="BH91" s="38" t="s">
        <v>38</v>
      </c>
      <c r="BI91" s="38" t="s">
        <v>39</v>
      </c>
      <c r="BJ91" s="36"/>
      <c r="BK91" s="39" t="s">
        <v>4</v>
      </c>
      <c r="BL91" s="39" t="s">
        <v>38</v>
      </c>
      <c r="BM91" s="39" t="s">
        <v>39</v>
      </c>
      <c r="BN91" s="36"/>
      <c r="BO91" s="53" t="s">
        <v>4</v>
      </c>
      <c r="BP91" s="53" t="s">
        <v>38</v>
      </c>
      <c r="BQ91" s="53" t="s">
        <v>39</v>
      </c>
      <c r="BR91" s="29"/>
      <c r="BS91" s="86"/>
      <c r="BT91" s="35"/>
      <c r="BU91" s="37" t="s">
        <v>4</v>
      </c>
      <c r="BV91" s="38" t="s">
        <v>38</v>
      </c>
      <c r="BW91" s="38" t="s">
        <v>39</v>
      </c>
      <c r="BX91" s="36"/>
      <c r="BY91" s="39" t="s">
        <v>4</v>
      </c>
      <c r="BZ91" s="39" t="s">
        <v>38</v>
      </c>
      <c r="CA91" s="39" t="s">
        <v>39</v>
      </c>
      <c r="CB91" s="36"/>
      <c r="CC91" s="53" t="s">
        <v>4</v>
      </c>
      <c r="CD91" s="53" t="s">
        <v>38</v>
      </c>
      <c r="CE91" s="53" t="s">
        <v>39</v>
      </c>
      <c r="CF91" s="29"/>
      <c r="CG91" s="86"/>
      <c r="CH91" s="35"/>
      <c r="CI91" s="37" t="s">
        <v>4</v>
      </c>
      <c r="CJ91" s="38" t="s">
        <v>38</v>
      </c>
      <c r="CK91" s="38" t="s">
        <v>39</v>
      </c>
      <c r="CL91" s="36"/>
      <c r="CM91" s="39" t="s">
        <v>4</v>
      </c>
      <c r="CN91" s="39" t="s">
        <v>38</v>
      </c>
      <c r="CO91" s="39" t="s">
        <v>39</v>
      </c>
      <c r="CP91" s="36"/>
      <c r="CQ91" s="53" t="s">
        <v>4</v>
      </c>
      <c r="CR91" s="53" t="s">
        <v>38</v>
      </c>
      <c r="CS91" s="53" t="s">
        <v>39</v>
      </c>
      <c r="CT91" s="29"/>
      <c r="CU91" s="86"/>
      <c r="CV91" s="35"/>
      <c r="CW91" s="37" t="s">
        <v>4</v>
      </c>
      <c r="CX91" s="38" t="s">
        <v>38</v>
      </c>
      <c r="CY91" s="38" t="s">
        <v>39</v>
      </c>
      <c r="CZ91" s="36"/>
      <c r="DA91" s="39" t="s">
        <v>4</v>
      </c>
      <c r="DB91" s="39" t="s">
        <v>38</v>
      </c>
      <c r="DC91" s="39" t="s">
        <v>39</v>
      </c>
      <c r="DD91" s="36"/>
      <c r="DE91" s="53" t="s">
        <v>4</v>
      </c>
      <c r="DF91" s="53" t="s">
        <v>38</v>
      </c>
      <c r="DG91" s="53" t="s">
        <v>39</v>
      </c>
      <c r="DH91" s="29"/>
      <c r="DI91" s="86"/>
      <c r="DJ91" s="35"/>
      <c r="DK91" s="37" t="s">
        <v>4</v>
      </c>
      <c r="DL91" s="38" t="s">
        <v>38</v>
      </c>
      <c r="DM91" s="38" t="s">
        <v>39</v>
      </c>
      <c r="DN91" s="36"/>
      <c r="DO91" s="39" t="s">
        <v>4</v>
      </c>
      <c r="DP91" s="39" t="s">
        <v>38</v>
      </c>
      <c r="DQ91" s="39" t="s">
        <v>39</v>
      </c>
      <c r="DR91" s="36"/>
      <c r="DS91" s="53" t="s">
        <v>4</v>
      </c>
      <c r="DT91" s="53" t="s">
        <v>38</v>
      </c>
      <c r="DU91" s="53" t="s">
        <v>39</v>
      </c>
      <c r="DV91" s="29"/>
      <c r="DW91" s="86"/>
      <c r="DX91" s="35"/>
      <c r="DY91" s="37" t="s">
        <v>4</v>
      </c>
      <c r="DZ91" s="38" t="s">
        <v>38</v>
      </c>
      <c r="EA91" s="38" t="s">
        <v>39</v>
      </c>
      <c r="EB91" s="36"/>
      <c r="EC91" s="39" t="s">
        <v>4</v>
      </c>
      <c r="ED91" s="39" t="s">
        <v>38</v>
      </c>
      <c r="EE91" s="39" t="s">
        <v>39</v>
      </c>
      <c r="EF91" s="36"/>
      <c r="EG91" s="53" t="s">
        <v>4</v>
      </c>
      <c r="EH91" s="53" t="s">
        <v>38</v>
      </c>
      <c r="EI91" s="53" t="s">
        <v>39</v>
      </c>
      <c r="EJ91" s="29"/>
      <c r="EK91" s="86"/>
      <c r="EL91" s="35"/>
      <c r="EM91" s="37" t="s">
        <v>4</v>
      </c>
      <c r="EN91" s="38" t="s">
        <v>38</v>
      </c>
      <c r="EO91" s="38" t="s">
        <v>39</v>
      </c>
      <c r="EP91" s="36"/>
      <c r="EQ91" s="39" t="s">
        <v>4</v>
      </c>
      <c r="ER91" s="39" t="s">
        <v>38</v>
      </c>
      <c r="ES91" s="39" t="s">
        <v>39</v>
      </c>
      <c r="ET91" s="36"/>
      <c r="EU91" s="53" t="s">
        <v>4</v>
      </c>
      <c r="EV91" s="53" t="s">
        <v>38</v>
      </c>
      <c r="EW91" s="53" t="s">
        <v>39</v>
      </c>
      <c r="EX91" s="29"/>
      <c r="EY91" s="86"/>
      <c r="EZ91" s="35"/>
      <c r="FA91" s="37" t="s">
        <v>4</v>
      </c>
      <c r="FB91" s="38" t="s">
        <v>38</v>
      </c>
      <c r="FC91" s="38" t="s">
        <v>39</v>
      </c>
      <c r="FD91" s="36"/>
      <c r="FE91" s="39" t="s">
        <v>4</v>
      </c>
      <c r="FF91" s="39" t="s">
        <v>38</v>
      </c>
      <c r="FG91" s="39" t="s">
        <v>39</v>
      </c>
      <c r="FH91" s="36"/>
      <c r="FI91" s="53" t="s">
        <v>4</v>
      </c>
      <c r="FJ91" s="53" t="s">
        <v>38</v>
      </c>
      <c r="FK91" s="53" t="s">
        <v>39</v>
      </c>
      <c r="FL91" s="29"/>
      <c r="FM91" s="86"/>
    </row>
    <row r="92" spans="1:169" ht="15.75" customHeight="1">
      <c r="A92" s="86"/>
      <c r="C92" s="33" t="e">
        <f ca="1">ROUNDUP(INDIRECT("I" &amp; (25+C$67))*$F$18/$T$17, 0)*$T$17</f>
        <v>#DIV/0!</v>
      </c>
      <c r="D92" s="38">
        <v>1</v>
      </c>
      <c r="E92" s="38"/>
      <c r="F92" s="30" t="str">
        <f>"берем около " &amp; INT(0.6*F34)&amp; "кг"</f>
        <v>берем около 0кг</v>
      </c>
      <c r="G92" s="39"/>
      <c r="H92" s="39">
        <v>1</v>
      </c>
      <c r="I92" s="39"/>
      <c r="J92" s="30" t="str">
        <f>"берем около " &amp; INT(0.6*F48)&amp; "кг"</f>
        <v>берем около 0кг</v>
      </c>
      <c r="K92" s="53"/>
      <c r="L92" s="53">
        <v>1</v>
      </c>
      <c r="M92" s="53"/>
      <c r="N92" s="29"/>
      <c r="O92" s="86"/>
      <c r="Q92" s="33" t="e">
        <f ca="1">ROUNDUP(INDIRECT("I" &amp; (25+Q$67))*$F$18/$T$17, 0)*$T$17</f>
        <v>#DIV/0!</v>
      </c>
      <c r="R92" s="38">
        <v>1</v>
      </c>
      <c r="S92" s="38"/>
      <c r="T92" s="30"/>
      <c r="U92" s="45" t="str">
        <f>IF(I92="", "", IF(I92&gt;12, G92+5, IF(I92&lt;10, G92-5, G92)))</f>
        <v/>
      </c>
      <c r="V92" s="39">
        <v>1</v>
      </c>
      <c r="W92" s="39"/>
      <c r="X92" s="30"/>
      <c r="Y92" s="45" t="str">
        <f>IF(M92="", "", IF(M92&gt;12, K92+5, IF(M92&lt;10, K92-5, K92)))</f>
        <v/>
      </c>
      <c r="Z92" s="53">
        <v>1</v>
      </c>
      <c r="AA92" s="53"/>
      <c r="AB92" s="29"/>
      <c r="AC92" s="86"/>
      <c r="AD92" s="35"/>
      <c r="AE92" s="33" t="e">
        <f ca="1">ROUNDUP(INDIRECT("I" &amp; (25+AE$67))*$F$18/$T$17, 0)*$T$17</f>
        <v>#DIV/0!</v>
      </c>
      <c r="AF92" s="38">
        <v>1</v>
      </c>
      <c r="AG92" s="38"/>
      <c r="AH92" s="30"/>
      <c r="AI92" s="45" t="str">
        <f>IF(W92="", "", IF(W92&gt;12, U92+5, IF(W92&lt;10, U92-5, U92)))</f>
        <v/>
      </c>
      <c r="AJ92" s="39">
        <v>1</v>
      </c>
      <c r="AK92" s="39"/>
      <c r="AL92" s="30"/>
      <c r="AM92" s="45" t="str">
        <f>IF(AA92="", "", IF(AA92&gt;12, Y92+5, IF(AA92&lt;10, Y92-5, Y92)))</f>
        <v/>
      </c>
      <c r="AN92" s="53">
        <v>1</v>
      </c>
      <c r="AO92" s="53"/>
      <c r="AP92" s="29"/>
      <c r="AQ92" s="86"/>
      <c r="AR92" s="35"/>
      <c r="AS92" s="33" t="e">
        <f ca="1">ROUNDUP(INDIRECT("I" &amp; (25+AS$67))*$F$18/$T$17, 0)*$T$17</f>
        <v>#DIV/0!</v>
      </c>
      <c r="AT92" s="38">
        <v>1</v>
      </c>
      <c r="AU92" s="38"/>
      <c r="AV92" s="30"/>
      <c r="AW92" s="45" t="str">
        <f>IF(AK92="", "", IF(AK92&gt;12, AI92+5, IF(AK92&lt;10, AI92-5, AI92)))</f>
        <v/>
      </c>
      <c r="AX92" s="39">
        <v>1</v>
      </c>
      <c r="AY92" s="39"/>
      <c r="AZ92" s="30"/>
      <c r="BA92" s="45" t="str">
        <f>IF(AO92="", "", IF(AO92&gt;12, AM92+5, IF(AO92&lt;10, AM92-5, AM92)))</f>
        <v/>
      </c>
      <c r="BB92" s="53">
        <v>1</v>
      </c>
      <c r="BC92" s="53"/>
      <c r="BD92" s="29"/>
      <c r="BE92" s="86"/>
      <c r="BF92" s="35"/>
      <c r="BG92" s="33" t="e">
        <f ca="1">ROUNDUP(INDIRECT("I" &amp; (25+BG$67))*$F$18/$T$17, 0)*$T$17</f>
        <v>#DIV/0!</v>
      </c>
      <c r="BH92" s="38">
        <v>1</v>
      </c>
      <c r="BI92" s="38"/>
      <c r="BJ92" s="30"/>
      <c r="BK92" s="45" t="str">
        <f>IF(AY92="", "", IF(AY92&gt;12, AW92+5, IF(AY92&lt;10, AW92-5, AW92)))</f>
        <v/>
      </c>
      <c r="BL92" s="39">
        <v>1</v>
      </c>
      <c r="BM92" s="39"/>
      <c r="BN92" s="30"/>
      <c r="BO92" s="45" t="str">
        <f>IF(BC92="", "", IF(BC92&gt;12, BA92+5, IF(BC92&lt;10, BA92-5, BA92)))</f>
        <v/>
      </c>
      <c r="BP92" s="53">
        <v>1</v>
      </c>
      <c r="BQ92" s="53"/>
      <c r="BR92" s="29"/>
      <c r="BS92" s="86"/>
      <c r="BT92" s="35"/>
      <c r="BU92" s="33" t="e">
        <f ca="1">ROUNDUP(INDIRECT("I" &amp; (25+BU$67))*$F$18/$T$17, 0)*$T$17</f>
        <v>#DIV/0!</v>
      </c>
      <c r="BV92" s="38">
        <v>1</v>
      </c>
      <c r="BW92" s="38"/>
      <c r="BX92" s="30"/>
      <c r="BY92" s="45" t="str">
        <f>IF(BM92="", "", IF(BM92&gt;12, BK92+5, IF(BM92&lt;10, BK92-5, BK92)))</f>
        <v/>
      </c>
      <c r="BZ92" s="39">
        <v>1</v>
      </c>
      <c r="CA92" s="39"/>
      <c r="CB92" s="30"/>
      <c r="CC92" s="45" t="str">
        <f>IF(BQ92="", "", IF(BQ92&gt;12, BO92+5, IF(BQ92&lt;10, BO92-5, BO92)))</f>
        <v/>
      </c>
      <c r="CD92" s="53">
        <v>1</v>
      </c>
      <c r="CE92" s="53"/>
      <c r="CF92" s="29"/>
      <c r="CG92" s="86"/>
      <c r="CH92" s="35"/>
      <c r="CI92" s="33" t="e">
        <f ca="1">ROUNDUP(INDIRECT("I" &amp; (25+CI$67))*$F$18/$T$17, 0)*$T$17</f>
        <v>#DIV/0!</v>
      </c>
      <c r="CJ92" s="38">
        <v>1</v>
      </c>
      <c r="CK92" s="38"/>
      <c r="CL92" s="30"/>
      <c r="CM92" s="45" t="str">
        <f>IF(CA92="", "", IF(CA92&gt;12, BY92+5, IF(CA92&lt;10, BY92-5, BY92)))</f>
        <v/>
      </c>
      <c r="CN92" s="39">
        <v>1</v>
      </c>
      <c r="CO92" s="39"/>
      <c r="CP92" s="30"/>
      <c r="CQ92" s="45" t="str">
        <f>IF(CE92="", "", IF(CE92&gt;12, CC92+5, IF(CE92&lt;10, CC92-5, CC92)))</f>
        <v/>
      </c>
      <c r="CR92" s="53">
        <v>1</v>
      </c>
      <c r="CS92" s="53"/>
      <c r="CT92" s="29"/>
      <c r="CU92" s="86"/>
      <c r="CV92" s="35"/>
      <c r="CW92" s="33" t="e">
        <f ca="1">ROUNDUP(INDIRECT("I" &amp; (25+CW$67))*$F$18/$T$17, 0)*$T$17</f>
        <v>#DIV/0!</v>
      </c>
      <c r="CX92" s="38">
        <v>1</v>
      </c>
      <c r="CY92" s="38"/>
      <c r="CZ92" s="30"/>
      <c r="DA92" s="45" t="str">
        <f>IF(CO92="", "", IF(CO92&gt;12, CM92+5, IF(CO92&lt;10, CM92-5, CM92)))</f>
        <v/>
      </c>
      <c r="DB92" s="39">
        <v>1</v>
      </c>
      <c r="DC92" s="39"/>
      <c r="DD92" s="30"/>
      <c r="DE92" s="45" t="str">
        <f>IF(CS92="", "", IF(CS92&gt;12, CQ92+5, IF(CS92&lt;10, CQ92-5, CQ92)))</f>
        <v/>
      </c>
      <c r="DF92" s="53">
        <v>1</v>
      </c>
      <c r="DG92" s="53"/>
      <c r="DH92" s="29"/>
      <c r="DI92" s="86"/>
      <c r="DJ92" s="35"/>
      <c r="DK92" s="33" t="e">
        <f ca="1">ROUNDUP(INDIRECT("I" &amp; (25+DK$67))*$F$18/$T$17, 0)*$T$17</f>
        <v>#DIV/0!</v>
      </c>
      <c r="DL92" s="38">
        <v>1</v>
      </c>
      <c r="DM92" s="38"/>
      <c r="DN92" s="30"/>
      <c r="DO92" s="45" t="str">
        <f>IF(DC92="", "", IF(DC92&gt;12, DA92+5, IF(DC92&lt;10, DA92-5, DA92)))</f>
        <v/>
      </c>
      <c r="DP92" s="39">
        <v>1</v>
      </c>
      <c r="DQ92" s="39"/>
      <c r="DR92" s="30"/>
      <c r="DS92" s="45" t="str">
        <f>IF(DG92="", "", IF(DG92&gt;12, DE92+5, IF(DG92&lt;10, DE92-5, DE92)))</f>
        <v/>
      </c>
      <c r="DT92" s="53">
        <v>1</v>
      </c>
      <c r="DU92" s="53"/>
      <c r="DV92" s="29"/>
      <c r="DW92" s="86"/>
      <c r="DX92" s="35"/>
      <c r="DY92" s="33" t="e">
        <f ca="1">ROUNDUP(INDIRECT("I" &amp; (25+DY$67))*$F$18/$T$17, 0)*$T$17</f>
        <v>#DIV/0!</v>
      </c>
      <c r="DZ92" s="38">
        <v>1</v>
      </c>
      <c r="EA92" s="38"/>
      <c r="EB92" s="30"/>
      <c r="EC92" s="45" t="str">
        <f>IF(DQ92="", "", IF(DQ92&gt;12, DO92+5, IF(DQ92&lt;10, DO92-5, DO92)))</f>
        <v/>
      </c>
      <c r="ED92" s="39">
        <v>1</v>
      </c>
      <c r="EE92" s="39"/>
      <c r="EF92" s="30"/>
      <c r="EG92" s="45" t="str">
        <f>IF(DU92="", "", IF(DU92&gt;12, DS92+5, IF(DU92&lt;10, DS92-5, DS92)))</f>
        <v/>
      </c>
      <c r="EH92" s="53">
        <v>1</v>
      </c>
      <c r="EI92" s="53"/>
      <c r="EJ92" s="29"/>
      <c r="EK92" s="86"/>
      <c r="EL92" s="35"/>
      <c r="EM92" s="33" t="e">
        <f ca="1">ROUNDUP(INDIRECT("I" &amp; (25+EM$67))*$F$18/$T$17, 0)*$T$17</f>
        <v>#DIV/0!</v>
      </c>
      <c r="EN92" s="38">
        <v>1</v>
      </c>
      <c r="EO92" s="38"/>
      <c r="EP92" s="30"/>
      <c r="EQ92" s="45" t="str">
        <f>IF(EE92="", "", IF(EE92&gt;12, EC92+5, IF(EE92&lt;10, EC92-5, EC92)))</f>
        <v/>
      </c>
      <c r="ER92" s="39">
        <v>1</v>
      </c>
      <c r="ES92" s="39"/>
      <c r="ET92" s="30"/>
      <c r="EU92" s="45" t="str">
        <f>IF(EI92="", "", IF(EI92&gt;12, EG92+5, IF(EI92&lt;10, EG92-5, EG92)))</f>
        <v/>
      </c>
      <c r="EV92" s="53">
        <v>1</v>
      </c>
      <c r="EW92" s="53"/>
      <c r="EX92" s="29"/>
      <c r="EY92" s="86"/>
      <c r="EZ92" s="35"/>
      <c r="FA92" s="33" t="e">
        <f ca="1">ROUNDUP(INDIRECT("I" &amp; (25+FA$67))*$F$18/$T$17, 0)*$T$17</f>
        <v>#DIV/0!</v>
      </c>
      <c r="FB92" s="38">
        <v>1</v>
      </c>
      <c r="FC92" s="38"/>
      <c r="FD92" s="30"/>
      <c r="FE92" s="45" t="str">
        <f>IF(ES92="", "", IF(ES92&gt;12, EQ92+5, IF(ES92&lt;10, EQ92-5, EQ92)))</f>
        <v/>
      </c>
      <c r="FF92" s="39">
        <v>1</v>
      </c>
      <c r="FG92" s="39"/>
      <c r="FH92" s="30"/>
      <c r="FI92" s="45" t="str">
        <f>IF(EW92="", "", IF(EW92&gt;12, EU92+5, IF(EW92&lt;10, EU92-5, EU92)))</f>
        <v/>
      </c>
      <c r="FJ92" s="53">
        <v>1</v>
      </c>
      <c r="FK92" s="53"/>
      <c r="FL92" s="29"/>
      <c r="FM92" s="86"/>
    </row>
    <row r="93" spans="1:169" ht="15.75" customHeight="1">
      <c r="A93" s="86"/>
      <c r="C93" s="33" t="e">
        <f t="shared" ref="C93" ca="1" si="39">ROUNDUP(INDIRECT("I" &amp; (25+C$67))*$F$18/$T$17, 0)*$T$17</f>
        <v>#DIV/0!</v>
      </c>
      <c r="D93" s="36">
        <v>2</v>
      </c>
      <c r="E93" s="36"/>
      <c r="F93" s="36"/>
      <c r="G93" s="39"/>
      <c r="H93" s="39">
        <v>2</v>
      </c>
      <c r="I93" s="39"/>
      <c r="J93" s="36"/>
      <c r="K93" s="53"/>
      <c r="L93" s="53">
        <v>2</v>
      </c>
      <c r="M93" s="53"/>
      <c r="N93" s="29"/>
      <c r="O93" s="86"/>
      <c r="Q93" s="33" t="e">
        <f t="shared" ref="Q93" ca="1" si="40">ROUNDUP(INDIRECT("I" &amp; (25+Q$67))*$F$18/$T$17, 0)*$T$17</f>
        <v>#DIV/0!</v>
      </c>
      <c r="R93" s="36">
        <v>2</v>
      </c>
      <c r="S93" s="36"/>
      <c r="T93" s="36"/>
      <c r="U93" s="45" t="str">
        <f>IF(I92="", "", IF(I92&gt;12, G92+5, IF(I92&lt;10, G92-5, G92)))</f>
        <v/>
      </c>
      <c r="V93" s="39">
        <v>2</v>
      </c>
      <c r="W93" s="39"/>
      <c r="X93" s="36"/>
      <c r="Y93" s="45" t="str">
        <f>IF(M92="", "", IF(M92&gt;12, K92+5, IF(M92&lt;10, K92-5, K92)))</f>
        <v/>
      </c>
      <c r="Z93" s="53">
        <v>2</v>
      </c>
      <c r="AA93" s="53"/>
      <c r="AB93" s="29"/>
      <c r="AC93" s="86"/>
      <c r="AD93" s="35"/>
      <c r="AE93" s="33" t="e">
        <f t="shared" ref="AE93" ca="1" si="41">ROUNDUP(INDIRECT("I" &amp; (25+AE$67))*$F$18/$T$17, 0)*$T$17</f>
        <v>#DIV/0!</v>
      </c>
      <c r="AF93" s="36">
        <v>2</v>
      </c>
      <c r="AG93" s="36"/>
      <c r="AH93" s="36"/>
      <c r="AI93" s="45" t="str">
        <f>IF(W92="", "", IF(W92&gt;12, U92+5, IF(W92&lt;10, U92-5, U92)))</f>
        <v/>
      </c>
      <c r="AJ93" s="39">
        <v>2</v>
      </c>
      <c r="AK93" s="39"/>
      <c r="AL93" s="36"/>
      <c r="AM93" s="45" t="str">
        <f>IF(AA92="", "", IF(AA92&gt;12, Y92+5, IF(AA92&lt;10, Y92-5, Y92)))</f>
        <v/>
      </c>
      <c r="AN93" s="53">
        <v>2</v>
      </c>
      <c r="AO93" s="53"/>
      <c r="AP93" s="29"/>
      <c r="AQ93" s="86"/>
      <c r="AR93" s="35"/>
      <c r="AS93" s="33" t="e">
        <f t="shared" ref="AS93" ca="1" si="42">ROUNDUP(INDIRECT("I" &amp; (25+AS$67))*$F$18/$T$17, 0)*$T$17</f>
        <v>#DIV/0!</v>
      </c>
      <c r="AT93" s="36">
        <v>2</v>
      </c>
      <c r="AU93" s="36"/>
      <c r="AV93" s="36"/>
      <c r="AW93" s="45" t="str">
        <f>IF(AK92="", "", IF(AK92&gt;12, AI92+5, IF(AK92&lt;10, AI92-5, AI92)))</f>
        <v/>
      </c>
      <c r="AX93" s="39">
        <v>2</v>
      </c>
      <c r="AY93" s="39"/>
      <c r="AZ93" s="36"/>
      <c r="BA93" s="45" t="str">
        <f>IF(AO92="", "", IF(AO92&gt;12, AM92+5, IF(AO92&lt;10, AM92-5, AM92)))</f>
        <v/>
      </c>
      <c r="BB93" s="53">
        <v>2</v>
      </c>
      <c r="BC93" s="53"/>
      <c r="BD93" s="29"/>
      <c r="BE93" s="86"/>
      <c r="BF93" s="35"/>
      <c r="BG93" s="33" t="e">
        <f t="shared" ref="BG93" ca="1" si="43">ROUNDUP(INDIRECT("I" &amp; (25+BG$67))*$F$18/$T$17, 0)*$T$17</f>
        <v>#DIV/0!</v>
      </c>
      <c r="BH93" s="36">
        <v>2</v>
      </c>
      <c r="BI93" s="36"/>
      <c r="BJ93" s="36"/>
      <c r="BK93" s="45" t="str">
        <f>IF(AY92="", "", IF(AY92&gt;12, AW92+5, IF(AY92&lt;10, AW92-5, AW92)))</f>
        <v/>
      </c>
      <c r="BL93" s="39">
        <v>2</v>
      </c>
      <c r="BM93" s="39"/>
      <c r="BN93" s="36"/>
      <c r="BO93" s="45" t="str">
        <f>IF(BC92="", "", IF(BC92&gt;12, BA92+5, IF(BC92&lt;10, BA92-5, BA92)))</f>
        <v/>
      </c>
      <c r="BP93" s="53">
        <v>2</v>
      </c>
      <c r="BQ93" s="53"/>
      <c r="BR93" s="29"/>
      <c r="BS93" s="86"/>
      <c r="BT93" s="35"/>
      <c r="BU93" s="33" t="e">
        <f t="shared" ref="BU93" ca="1" si="44">ROUNDUP(INDIRECT("I" &amp; (25+BU$67))*$F$18/$T$17, 0)*$T$17</f>
        <v>#DIV/0!</v>
      </c>
      <c r="BV93" s="36">
        <v>2</v>
      </c>
      <c r="BW93" s="36"/>
      <c r="BX93" s="36"/>
      <c r="BY93" s="45" t="str">
        <f>IF(BM92="", "", IF(BM92&gt;12, BK92+5, IF(BM92&lt;10, BK92-5, BK92)))</f>
        <v/>
      </c>
      <c r="BZ93" s="39">
        <v>2</v>
      </c>
      <c r="CA93" s="39"/>
      <c r="CB93" s="36"/>
      <c r="CC93" s="45" t="str">
        <f>IF(BQ92="", "", IF(BQ92&gt;12, BO92+5, IF(BQ92&lt;10, BO92-5, BO92)))</f>
        <v/>
      </c>
      <c r="CD93" s="53">
        <v>2</v>
      </c>
      <c r="CE93" s="53"/>
      <c r="CF93" s="29"/>
      <c r="CG93" s="86"/>
      <c r="CH93" s="35"/>
      <c r="CI93" s="33" t="e">
        <f t="shared" ref="CI93" ca="1" si="45">ROUNDUP(INDIRECT("I" &amp; (25+CI$67))*$F$18/$T$17, 0)*$T$17</f>
        <v>#DIV/0!</v>
      </c>
      <c r="CJ93" s="36">
        <v>2</v>
      </c>
      <c r="CK93" s="36"/>
      <c r="CL93" s="36"/>
      <c r="CM93" s="45" t="str">
        <f>IF(CA92="", "", IF(CA92&gt;12, BY92+5, IF(CA92&lt;10, BY92-5, BY92)))</f>
        <v/>
      </c>
      <c r="CN93" s="39">
        <v>2</v>
      </c>
      <c r="CO93" s="39"/>
      <c r="CP93" s="36"/>
      <c r="CQ93" s="45" t="str">
        <f>IF(CE92="", "", IF(CE92&gt;12, CC92+5, IF(CE92&lt;10, CC92-5, CC92)))</f>
        <v/>
      </c>
      <c r="CR93" s="53">
        <v>2</v>
      </c>
      <c r="CS93" s="53"/>
      <c r="CT93" s="29"/>
      <c r="CU93" s="86"/>
      <c r="CV93" s="35"/>
      <c r="CW93" s="33" t="e">
        <f t="shared" ref="CW93" ca="1" si="46">ROUNDUP(INDIRECT("I" &amp; (25+CW$67))*$F$18/$T$17, 0)*$T$17</f>
        <v>#DIV/0!</v>
      </c>
      <c r="CX93" s="36">
        <v>2</v>
      </c>
      <c r="CY93" s="36"/>
      <c r="CZ93" s="36"/>
      <c r="DA93" s="45" t="str">
        <f>IF(CO92="", "", IF(CO92&gt;12, CM92+5, IF(CO92&lt;10, CM92-5, CM92)))</f>
        <v/>
      </c>
      <c r="DB93" s="39">
        <v>2</v>
      </c>
      <c r="DC93" s="39"/>
      <c r="DD93" s="36"/>
      <c r="DE93" s="45" t="str">
        <f>IF(CS92="", "", IF(CS92&gt;12, CQ92+5, IF(CS92&lt;10, CQ92-5, CQ92)))</f>
        <v/>
      </c>
      <c r="DF93" s="53">
        <v>2</v>
      </c>
      <c r="DG93" s="53"/>
      <c r="DH93" s="29"/>
      <c r="DI93" s="86"/>
      <c r="DJ93" s="35"/>
      <c r="DK93" s="33" t="e">
        <f t="shared" ref="DK93" ca="1" si="47">ROUNDUP(INDIRECT("I" &amp; (25+DK$67))*$F$18/$T$17, 0)*$T$17</f>
        <v>#DIV/0!</v>
      </c>
      <c r="DL93" s="36">
        <v>2</v>
      </c>
      <c r="DM93" s="36"/>
      <c r="DN93" s="36"/>
      <c r="DO93" s="45" t="str">
        <f>IF(DC92="", "", IF(DC92&gt;12, DA92+5, IF(DC92&lt;10, DA92-5, DA92)))</f>
        <v/>
      </c>
      <c r="DP93" s="39">
        <v>2</v>
      </c>
      <c r="DQ93" s="39"/>
      <c r="DR93" s="36"/>
      <c r="DS93" s="45" t="str">
        <f>IF(DG92="", "", IF(DG92&gt;12, DE92+5, IF(DG92&lt;10, DE92-5, DE92)))</f>
        <v/>
      </c>
      <c r="DT93" s="53">
        <v>2</v>
      </c>
      <c r="DU93" s="53"/>
      <c r="DV93" s="29"/>
      <c r="DW93" s="86"/>
      <c r="DX93" s="35"/>
      <c r="DY93" s="33" t="e">
        <f t="shared" ref="DY93" ca="1" si="48">ROUNDUP(INDIRECT("I" &amp; (25+DY$67))*$F$18/$T$17, 0)*$T$17</f>
        <v>#DIV/0!</v>
      </c>
      <c r="DZ93" s="36">
        <v>2</v>
      </c>
      <c r="EA93" s="36"/>
      <c r="EB93" s="36"/>
      <c r="EC93" s="45" t="str">
        <f>IF(DQ92="", "", IF(DQ92&gt;12, DO92+5, IF(DQ92&lt;10, DO92-5, DO92)))</f>
        <v/>
      </c>
      <c r="ED93" s="39">
        <v>2</v>
      </c>
      <c r="EE93" s="39"/>
      <c r="EF93" s="36"/>
      <c r="EG93" s="45" t="str">
        <f>IF(DU92="", "", IF(DU92&gt;12, DS92+5, IF(DU92&lt;10, DS92-5, DS92)))</f>
        <v/>
      </c>
      <c r="EH93" s="53">
        <v>2</v>
      </c>
      <c r="EI93" s="53"/>
      <c r="EJ93" s="29"/>
      <c r="EK93" s="86"/>
      <c r="EL93" s="35"/>
      <c r="EM93" s="33" t="e">
        <f t="shared" ref="EM93" ca="1" si="49">ROUNDUP(INDIRECT("I" &amp; (25+EM$67))*$F$18/$T$17, 0)*$T$17</f>
        <v>#DIV/0!</v>
      </c>
      <c r="EN93" s="36">
        <v>2</v>
      </c>
      <c r="EO93" s="36"/>
      <c r="EP93" s="36"/>
      <c r="EQ93" s="45" t="str">
        <f>IF(EE92="", "", IF(EE92&gt;12, EC92+5, IF(EE92&lt;10, EC92-5, EC92)))</f>
        <v/>
      </c>
      <c r="ER93" s="39">
        <v>2</v>
      </c>
      <c r="ES93" s="39"/>
      <c r="ET93" s="36"/>
      <c r="EU93" s="45" t="str">
        <f>IF(EI92="", "", IF(EI92&gt;12, EG92+5, IF(EI92&lt;10, EG92-5, EG92)))</f>
        <v/>
      </c>
      <c r="EV93" s="53">
        <v>2</v>
      </c>
      <c r="EW93" s="53"/>
      <c r="EX93" s="29"/>
      <c r="EY93" s="86"/>
      <c r="EZ93" s="35"/>
      <c r="FA93" s="33" t="e">
        <f t="shared" ref="FA93" ca="1" si="50">ROUNDUP(INDIRECT("I" &amp; (25+FA$67))*$F$18/$T$17, 0)*$T$17</f>
        <v>#DIV/0!</v>
      </c>
      <c r="FB93" s="36">
        <v>2</v>
      </c>
      <c r="FC93" s="36"/>
      <c r="FD93" s="36"/>
      <c r="FE93" s="45" t="str">
        <f>IF(ES92="", "", IF(ES92&gt;12, EQ92+5, IF(ES92&lt;10, EQ92-5, EQ92)))</f>
        <v/>
      </c>
      <c r="FF93" s="39">
        <v>2</v>
      </c>
      <c r="FG93" s="39"/>
      <c r="FH93" s="36"/>
      <c r="FI93" s="45" t="str">
        <f>IF(EW92="", "", IF(EW92&gt;12, EU92+5, IF(EW92&lt;10, EU92-5, EU92)))</f>
        <v/>
      </c>
      <c r="FJ93" s="53">
        <v>2</v>
      </c>
      <c r="FK93" s="53"/>
      <c r="FL93" s="29"/>
      <c r="FM93" s="86"/>
    </row>
    <row r="94" spans="1:169" ht="15.75" customHeight="1">
      <c r="A94" s="86"/>
      <c r="C94" s="33"/>
      <c r="D94" s="39"/>
      <c r="E94" s="39"/>
      <c r="F94" s="40"/>
      <c r="G94" s="39"/>
      <c r="H94" s="39">
        <v>3</v>
      </c>
      <c r="I94" s="39"/>
      <c r="J94" s="36"/>
      <c r="K94" s="53"/>
      <c r="L94" s="53">
        <v>3</v>
      </c>
      <c r="M94" s="53"/>
      <c r="O94" s="86"/>
      <c r="Q94" s="33"/>
      <c r="R94" s="39"/>
      <c r="S94" s="39"/>
      <c r="T94" s="40"/>
      <c r="U94" s="45" t="str">
        <f>IF(I92="", "", IF(I92&gt;12, G92+5, IF(I92&lt;10, G92-5, G92)))</f>
        <v/>
      </c>
      <c r="V94" s="39">
        <v>3</v>
      </c>
      <c r="W94" s="39"/>
      <c r="X94" s="36"/>
      <c r="Y94" s="45" t="str">
        <f>IF(M92="", "", IF(M92&gt;12, K92+5, IF(M92&lt;10, K92-5, K92)))</f>
        <v/>
      </c>
      <c r="Z94" s="53">
        <v>3</v>
      </c>
      <c r="AA94" s="53"/>
      <c r="AC94" s="86"/>
      <c r="AD94" s="35"/>
      <c r="AE94" s="33"/>
      <c r="AF94" s="39"/>
      <c r="AG94" s="39"/>
      <c r="AH94" s="40"/>
      <c r="AI94" s="45" t="str">
        <f>IF(W92="", "", IF(W92&gt;12, U92+5, IF(W92&lt;10, U92-5, U92)))</f>
        <v/>
      </c>
      <c r="AJ94" s="39">
        <v>3</v>
      </c>
      <c r="AK94" s="39"/>
      <c r="AL94" s="36"/>
      <c r="AM94" s="45" t="str">
        <f>IF(AA92="", "", IF(AA92&gt;12, Y92+5, IF(AA92&lt;10, Y92-5, Y92)))</f>
        <v/>
      </c>
      <c r="AN94" s="53">
        <v>3</v>
      </c>
      <c r="AO94" s="53"/>
      <c r="AP94" s="35"/>
      <c r="AQ94" s="86"/>
      <c r="AR94" s="35"/>
      <c r="AS94" s="33"/>
      <c r="AT94" s="39"/>
      <c r="AU94" s="39"/>
      <c r="AV94" s="40"/>
      <c r="AW94" s="45" t="str">
        <f>IF(AK92="", "", IF(AK92&gt;12, AI92+5, IF(AK92&lt;10, AI92-5, AI92)))</f>
        <v/>
      </c>
      <c r="AX94" s="39">
        <v>3</v>
      </c>
      <c r="AY94" s="39"/>
      <c r="AZ94" s="36"/>
      <c r="BA94" s="45" t="str">
        <f>IF(AO92="", "", IF(AO92&gt;12, AM92+5, IF(AO92&lt;10, AM92-5, AM92)))</f>
        <v/>
      </c>
      <c r="BB94" s="53">
        <v>3</v>
      </c>
      <c r="BC94" s="53"/>
      <c r="BD94" s="35"/>
      <c r="BE94" s="86"/>
      <c r="BF94" s="35"/>
      <c r="BG94" s="33"/>
      <c r="BH94" s="39"/>
      <c r="BI94" s="39"/>
      <c r="BJ94" s="40"/>
      <c r="BK94" s="45" t="str">
        <f>IF(AY92="", "", IF(AY92&gt;12, AW92+5, IF(AY92&lt;10, AW92-5, AW92)))</f>
        <v/>
      </c>
      <c r="BL94" s="39">
        <v>3</v>
      </c>
      <c r="BM94" s="39"/>
      <c r="BN94" s="36"/>
      <c r="BO94" s="45" t="str">
        <f>IF(BC92="", "", IF(BC92&gt;12, BA92+5, IF(BC92&lt;10, BA92-5, BA92)))</f>
        <v/>
      </c>
      <c r="BP94" s="53">
        <v>3</v>
      </c>
      <c r="BQ94" s="53"/>
      <c r="BR94" s="35"/>
      <c r="BS94" s="86"/>
      <c r="BT94" s="35"/>
      <c r="BU94" s="33"/>
      <c r="BV94" s="39"/>
      <c r="BW94" s="39"/>
      <c r="BX94" s="40"/>
      <c r="BY94" s="45" t="str">
        <f>IF(BM92="", "", IF(BM92&gt;12, BK92+5, IF(BM92&lt;10, BK92-5, BK92)))</f>
        <v/>
      </c>
      <c r="BZ94" s="39">
        <v>3</v>
      </c>
      <c r="CA94" s="39"/>
      <c r="CB94" s="36"/>
      <c r="CC94" s="45" t="str">
        <f>IF(BQ92="", "", IF(BQ92&gt;12, BO92+5, IF(BQ92&lt;10, BO92-5, BO92)))</f>
        <v/>
      </c>
      <c r="CD94" s="53">
        <v>3</v>
      </c>
      <c r="CE94" s="53"/>
      <c r="CF94" s="35"/>
      <c r="CG94" s="86"/>
      <c r="CH94" s="35"/>
      <c r="CI94" s="33"/>
      <c r="CJ94" s="39"/>
      <c r="CK94" s="39"/>
      <c r="CL94" s="40"/>
      <c r="CM94" s="45" t="str">
        <f>IF(CA92="", "", IF(CA92&gt;12, BY92+5, IF(CA92&lt;10, BY92-5, BY92)))</f>
        <v/>
      </c>
      <c r="CN94" s="39">
        <v>3</v>
      </c>
      <c r="CO94" s="39"/>
      <c r="CP94" s="36"/>
      <c r="CQ94" s="45" t="str">
        <f>IF(CE92="", "", IF(CE92&gt;12, CC92+5, IF(CE92&lt;10, CC92-5, CC92)))</f>
        <v/>
      </c>
      <c r="CR94" s="53">
        <v>3</v>
      </c>
      <c r="CS94" s="53"/>
      <c r="CT94" s="35"/>
      <c r="CU94" s="86"/>
      <c r="CV94" s="35"/>
      <c r="CW94" s="33"/>
      <c r="CX94" s="39"/>
      <c r="CY94" s="39"/>
      <c r="CZ94" s="40"/>
      <c r="DA94" s="45" t="str">
        <f>IF(CO92="", "", IF(CO92&gt;12, CM92+5, IF(CO92&lt;10, CM92-5, CM92)))</f>
        <v/>
      </c>
      <c r="DB94" s="39">
        <v>3</v>
      </c>
      <c r="DC94" s="39"/>
      <c r="DD94" s="36"/>
      <c r="DE94" s="45" t="str">
        <f>IF(CS92="", "", IF(CS92&gt;12, CQ92+5, IF(CS92&lt;10, CQ92-5, CQ92)))</f>
        <v/>
      </c>
      <c r="DF94" s="53">
        <v>3</v>
      </c>
      <c r="DG94" s="53"/>
      <c r="DH94" s="35"/>
      <c r="DI94" s="86"/>
      <c r="DJ94" s="35"/>
      <c r="DK94" s="33"/>
      <c r="DL94" s="39"/>
      <c r="DM94" s="39"/>
      <c r="DN94" s="40"/>
      <c r="DO94" s="45" t="str">
        <f>IF(DC92="", "", IF(DC92&gt;12, DA92+5, IF(DC92&lt;10, DA92-5, DA92)))</f>
        <v/>
      </c>
      <c r="DP94" s="39">
        <v>3</v>
      </c>
      <c r="DQ94" s="39"/>
      <c r="DR94" s="36"/>
      <c r="DS94" s="45" t="str">
        <f>IF(DG92="", "", IF(DG92&gt;12, DE92+5, IF(DG92&lt;10, DE92-5, DE92)))</f>
        <v/>
      </c>
      <c r="DT94" s="53">
        <v>3</v>
      </c>
      <c r="DU94" s="53"/>
      <c r="DV94" s="35"/>
      <c r="DW94" s="86"/>
      <c r="DX94" s="35"/>
      <c r="DY94" s="33"/>
      <c r="DZ94" s="39"/>
      <c r="EA94" s="39"/>
      <c r="EB94" s="40"/>
      <c r="EC94" s="45" t="str">
        <f>IF(DQ92="", "", IF(DQ92&gt;12, DO92+5, IF(DQ92&lt;10, DO92-5, DO92)))</f>
        <v/>
      </c>
      <c r="ED94" s="39">
        <v>3</v>
      </c>
      <c r="EE94" s="39"/>
      <c r="EF94" s="36"/>
      <c r="EG94" s="45" t="str">
        <f>IF(DU92="", "", IF(DU92&gt;12, DS92+5, IF(DU92&lt;10, DS92-5, DS92)))</f>
        <v/>
      </c>
      <c r="EH94" s="53">
        <v>3</v>
      </c>
      <c r="EI94" s="53"/>
      <c r="EJ94" s="35"/>
      <c r="EK94" s="86"/>
      <c r="EL94" s="35"/>
      <c r="EM94" s="33"/>
      <c r="EN94" s="39"/>
      <c r="EO94" s="39"/>
      <c r="EP94" s="40"/>
      <c r="EQ94" s="45" t="str">
        <f>IF(EE92="", "", IF(EE92&gt;12, EC92+5, IF(EE92&lt;10, EC92-5, EC92)))</f>
        <v/>
      </c>
      <c r="ER94" s="39">
        <v>3</v>
      </c>
      <c r="ES94" s="39"/>
      <c r="ET94" s="36"/>
      <c r="EU94" s="45" t="str">
        <f>IF(EI92="", "", IF(EI92&gt;12, EG92+5, IF(EI92&lt;10, EG92-5, EG92)))</f>
        <v/>
      </c>
      <c r="EV94" s="53">
        <v>3</v>
      </c>
      <c r="EW94" s="53"/>
      <c r="EX94" s="35"/>
      <c r="EY94" s="86"/>
      <c r="EZ94" s="35"/>
      <c r="FA94" s="33"/>
      <c r="FB94" s="39"/>
      <c r="FC94" s="39"/>
      <c r="FD94" s="40"/>
      <c r="FE94" s="45" t="str">
        <f>IF(ES92="", "", IF(ES92&gt;12, EQ92+5, IF(ES92&lt;10, EQ92-5, EQ92)))</f>
        <v/>
      </c>
      <c r="FF94" s="39">
        <v>3</v>
      </c>
      <c r="FG94" s="39"/>
      <c r="FH94" s="36"/>
      <c r="FI94" s="45" t="str">
        <f>IF(EW92="", "", IF(EW92&gt;12, EU92+5, IF(EW92&lt;10, EU92-5, EU92)))</f>
        <v/>
      </c>
      <c r="FJ94" s="53">
        <v>3</v>
      </c>
      <c r="FK94" s="53"/>
      <c r="FL94" s="35"/>
      <c r="FM94" s="86"/>
    </row>
    <row r="95" spans="1:169" ht="15.75" customHeight="1">
      <c r="A95" s="86"/>
      <c r="C95" s="40"/>
      <c r="D95" s="40"/>
      <c r="E95" s="40"/>
      <c r="F95" s="40"/>
      <c r="G95" s="68" t="s">
        <v>23</v>
      </c>
      <c r="H95" s="69"/>
      <c r="I95" s="69"/>
      <c r="J95" s="40"/>
      <c r="K95" s="62" t="s">
        <v>17</v>
      </c>
      <c r="L95" s="63"/>
      <c r="M95" s="64"/>
      <c r="O95" s="86"/>
      <c r="Q95" s="40"/>
      <c r="R95" s="40"/>
      <c r="S95" s="40"/>
      <c r="T95" s="40"/>
      <c r="U95" s="68" t="s">
        <v>23</v>
      </c>
      <c r="V95" s="69"/>
      <c r="W95" s="69"/>
      <c r="X95" s="40"/>
      <c r="Y95" s="62" t="s">
        <v>17</v>
      </c>
      <c r="Z95" s="63"/>
      <c r="AA95" s="64"/>
      <c r="AC95" s="86"/>
      <c r="AD95" s="35"/>
      <c r="AE95" s="40"/>
      <c r="AF95" s="40"/>
      <c r="AG95" s="40"/>
      <c r="AH95" s="40"/>
      <c r="AI95" s="68" t="s">
        <v>23</v>
      </c>
      <c r="AJ95" s="69"/>
      <c r="AK95" s="69"/>
      <c r="AL95" s="40"/>
      <c r="AM95" s="62" t="s">
        <v>17</v>
      </c>
      <c r="AN95" s="63"/>
      <c r="AO95" s="64"/>
      <c r="AP95" s="35"/>
      <c r="AQ95" s="86"/>
      <c r="AR95" s="35"/>
      <c r="AS95" s="40"/>
      <c r="AT95" s="40"/>
      <c r="AU95" s="40"/>
      <c r="AV95" s="40"/>
      <c r="AW95" s="68" t="s">
        <v>23</v>
      </c>
      <c r="AX95" s="69"/>
      <c r="AY95" s="69"/>
      <c r="AZ95" s="40"/>
      <c r="BA95" s="62" t="s">
        <v>17</v>
      </c>
      <c r="BB95" s="63"/>
      <c r="BC95" s="64"/>
      <c r="BD95" s="35"/>
      <c r="BE95" s="86"/>
      <c r="BF95" s="35"/>
      <c r="BG95" s="40"/>
      <c r="BH95" s="40"/>
      <c r="BI95" s="40"/>
      <c r="BJ95" s="40"/>
      <c r="BK95" s="68" t="s">
        <v>23</v>
      </c>
      <c r="BL95" s="69"/>
      <c r="BM95" s="69"/>
      <c r="BN95" s="40"/>
      <c r="BO95" s="62" t="s">
        <v>17</v>
      </c>
      <c r="BP95" s="63"/>
      <c r="BQ95" s="64"/>
      <c r="BR95" s="35"/>
      <c r="BS95" s="86"/>
      <c r="BT95" s="35"/>
      <c r="BU95" s="40"/>
      <c r="BV95" s="40"/>
      <c r="BW95" s="40"/>
      <c r="BX95" s="40"/>
      <c r="BY95" s="68" t="s">
        <v>23</v>
      </c>
      <c r="BZ95" s="69"/>
      <c r="CA95" s="69"/>
      <c r="CB95" s="40"/>
      <c r="CC95" s="62" t="s">
        <v>17</v>
      </c>
      <c r="CD95" s="63"/>
      <c r="CE95" s="64"/>
      <c r="CF95" s="35"/>
      <c r="CG95" s="86"/>
      <c r="CH95" s="35"/>
      <c r="CI95" s="40"/>
      <c r="CJ95" s="40"/>
      <c r="CK95" s="40"/>
      <c r="CL95" s="40"/>
      <c r="CM95" s="68" t="s">
        <v>23</v>
      </c>
      <c r="CN95" s="69"/>
      <c r="CO95" s="69"/>
      <c r="CP95" s="40"/>
      <c r="CQ95" s="62" t="s">
        <v>17</v>
      </c>
      <c r="CR95" s="63"/>
      <c r="CS95" s="64"/>
      <c r="CT95" s="35"/>
      <c r="CU95" s="86"/>
      <c r="CV95" s="35"/>
      <c r="CW95" s="40"/>
      <c r="CX95" s="40"/>
      <c r="CY95" s="40"/>
      <c r="CZ95" s="40"/>
      <c r="DA95" s="68" t="s">
        <v>23</v>
      </c>
      <c r="DB95" s="69"/>
      <c r="DC95" s="69"/>
      <c r="DD95" s="40"/>
      <c r="DE95" s="62" t="s">
        <v>17</v>
      </c>
      <c r="DF95" s="63"/>
      <c r="DG95" s="64"/>
      <c r="DH95" s="35"/>
      <c r="DI95" s="86"/>
      <c r="DJ95" s="35"/>
      <c r="DK95" s="40"/>
      <c r="DL95" s="40"/>
      <c r="DM95" s="40"/>
      <c r="DN95" s="40"/>
      <c r="DO95" s="68" t="s">
        <v>23</v>
      </c>
      <c r="DP95" s="69"/>
      <c r="DQ95" s="69"/>
      <c r="DR95" s="40"/>
      <c r="DS95" s="62" t="s">
        <v>17</v>
      </c>
      <c r="DT95" s="63"/>
      <c r="DU95" s="64"/>
      <c r="DV95" s="35"/>
      <c r="DW95" s="86"/>
      <c r="DX95" s="35"/>
      <c r="DY95" s="40"/>
      <c r="DZ95" s="40"/>
      <c r="EA95" s="40"/>
      <c r="EB95" s="40"/>
      <c r="EC95" s="68" t="s">
        <v>23</v>
      </c>
      <c r="ED95" s="69"/>
      <c r="EE95" s="69"/>
      <c r="EF95" s="40"/>
      <c r="EG95" s="62" t="s">
        <v>17</v>
      </c>
      <c r="EH95" s="63"/>
      <c r="EI95" s="64"/>
      <c r="EJ95" s="35"/>
      <c r="EK95" s="86"/>
      <c r="EL95" s="35"/>
      <c r="EM95" s="40"/>
      <c r="EN95" s="40"/>
      <c r="EO95" s="40"/>
      <c r="EP95" s="40"/>
      <c r="EQ95" s="68" t="s">
        <v>23</v>
      </c>
      <c r="ER95" s="69"/>
      <c r="ES95" s="69"/>
      <c r="ET95" s="40"/>
      <c r="EU95" s="62" t="s">
        <v>17</v>
      </c>
      <c r="EV95" s="63"/>
      <c r="EW95" s="64"/>
      <c r="EX95" s="35"/>
      <c r="EY95" s="86"/>
      <c r="EZ95" s="35"/>
      <c r="FA95" s="40"/>
      <c r="FB95" s="40"/>
      <c r="FC95" s="40"/>
      <c r="FD95" s="40"/>
      <c r="FE95" s="68" t="s">
        <v>23</v>
      </c>
      <c r="FF95" s="69"/>
      <c r="FG95" s="69"/>
      <c r="FH95" s="40"/>
      <c r="FI95" s="62" t="s">
        <v>17</v>
      </c>
      <c r="FJ95" s="63"/>
      <c r="FK95" s="64"/>
      <c r="FL95" s="35"/>
      <c r="FM95" s="86"/>
    </row>
    <row r="96" spans="1:169" ht="15.75" customHeight="1">
      <c r="A96" s="86"/>
      <c r="B96" s="30"/>
      <c r="C96" s="77" t="s">
        <v>47</v>
      </c>
      <c r="D96" s="72"/>
      <c r="E96" s="73"/>
      <c r="F96" s="36"/>
      <c r="G96" s="39" t="s">
        <v>4</v>
      </c>
      <c r="H96" s="39" t="s">
        <v>48</v>
      </c>
      <c r="I96" s="39" t="s">
        <v>39</v>
      </c>
      <c r="J96" s="36"/>
      <c r="K96" s="33" t="s">
        <v>4</v>
      </c>
      <c r="L96" s="33" t="s">
        <v>38</v>
      </c>
      <c r="M96" s="33" t="s">
        <v>39</v>
      </c>
      <c r="O96" s="86"/>
      <c r="Q96" s="77" t="s">
        <v>47</v>
      </c>
      <c r="R96" s="72"/>
      <c r="S96" s="73"/>
      <c r="T96" s="36"/>
      <c r="U96" s="39" t="s">
        <v>4</v>
      </c>
      <c r="V96" s="39" t="s">
        <v>48</v>
      </c>
      <c r="W96" s="39" t="s">
        <v>39</v>
      </c>
      <c r="X96" s="36"/>
      <c r="Y96" s="33" t="s">
        <v>4</v>
      </c>
      <c r="Z96" s="33" t="s">
        <v>38</v>
      </c>
      <c r="AA96" s="33" t="s">
        <v>39</v>
      </c>
      <c r="AC96" s="86"/>
      <c r="AD96" s="35"/>
      <c r="AE96" s="77" t="s">
        <v>47</v>
      </c>
      <c r="AF96" s="72"/>
      <c r="AG96" s="73"/>
      <c r="AH96" s="36"/>
      <c r="AI96" s="39" t="s">
        <v>4</v>
      </c>
      <c r="AJ96" s="39" t="s">
        <v>48</v>
      </c>
      <c r="AK96" s="39" t="s">
        <v>39</v>
      </c>
      <c r="AL96" s="36"/>
      <c r="AM96" s="33" t="s">
        <v>4</v>
      </c>
      <c r="AN96" s="33" t="s">
        <v>38</v>
      </c>
      <c r="AO96" s="33" t="s">
        <v>39</v>
      </c>
      <c r="AP96" s="35"/>
      <c r="AQ96" s="86"/>
      <c r="AR96" s="35"/>
      <c r="AS96" s="77" t="s">
        <v>47</v>
      </c>
      <c r="AT96" s="72"/>
      <c r="AU96" s="73"/>
      <c r="AV96" s="36"/>
      <c r="AW96" s="39" t="s">
        <v>4</v>
      </c>
      <c r="AX96" s="39" t="s">
        <v>48</v>
      </c>
      <c r="AY96" s="39" t="s">
        <v>39</v>
      </c>
      <c r="AZ96" s="36"/>
      <c r="BA96" s="33" t="s">
        <v>4</v>
      </c>
      <c r="BB96" s="33" t="s">
        <v>38</v>
      </c>
      <c r="BC96" s="33" t="s">
        <v>39</v>
      </c>
      <c r="BD96" s="35"/>
      <c r="BE96" s="86"/>
      <c r="BF96" s="35"/>
      <c r="BG96" s="77" t="s">
        <v>47</v>
      </c>
      <c r="BH96" s="72"/>
      <c r="BI96" s="73"/>
      <c r="BJ96" s="36"/>
      <c r="BK96" s="39" t="s">
        <v>4</v>
      </c>
      <c r="BL96" s="39" t="s">
        <v>48</v>
      </c>
      <c r="BM96" s="39" t="s">
        <v>39</v>
      </c>
      <c r="BN96" s="36"/>
      <c r="BO96" s="33" t="s">
        <v>4</v>
      </c>
      <c r="BP96" s="33" t="s">
        <v>38</v>
      </c>
      <c r="BQ96" s="33" t="s">
        <v>39</v>
      </c>
      <c r="BR96" s="35"/>
      <c r="BS96" s="86"/>
      <c r="BT96" s="35"/>
      <c r="BU96" s="77" t="s">
        <v>47</v>
      </c>
      <c r="BV96" s="72"/>
      <c r="BW96" s="73"/>
      <c r="BX96" s="36"/>
      <c r="BY96" s="39" t="s">
        <v>4</v>
      </c>
      <c r="BZ96" s="39" t="s">
        <v>48</v>
      </c>
      <c r="CA96" s="39" t="s">
        <v>39</v>
      </c>
      <c r="CB96" s="36"/>
      <c r="CC96" s="33" t="s">
        <v>4</v>
      </c>
      <c r="CD96" s="33" t="s">
        <v>38</v>
      </c>
      <c r="CE96" s="33" t="s">
        <v>39</v>
      </c>
      <c r="CF96" s="35"/>
      <c r="CG96" s="86"/>
      <c r="CH96" s="35"/>
      <c r="CI96" s="77" t="s">
        <v>47</v>
      </c>
      <c r="CJ96" s="72"/>
      <c r="CK96" s="73"/>
      <c r="CL96" s="36"/>
      <c r="CM96" s="39" t="s">
        <v>4</v>
      </c>
      <c r="CN96" s="39" t="s">
        <v>48</v>
      </c>
      <c r="CO96" s="39" t="s">
        <v>39</v>
      </c>
      <c r="CP96" s="36"/>
      <c r="CQ96" s="33" t="s">
        <v>4</v>
      </c>
      <c r="CR96" s="33" t="s">
        <v>38</v>
      </c>
      <c r="CS96" s="33" t="s">
        <v>39</v>
      </c>
      <c r="CT96" s="35"/>
      <c r="CU96" s="86"/>
      <c r="CV96" s="35"/>
      <c r="CW96" s="77" t="s">
        <v>47</v>
      </c>
      <c r="CX96" s="72"/>
      <c r="CY96" s="73"/>
      <c r="CZ96" s="36"/>
      <c r="DA96" s="39" t="s">
        <v>4</v>
      </c>
      <c r="DB96" s="39" t="s">
        <v>48</v>
      </c>
      <c r="DC96" s="39" t="s">
        <v>39</v>
      </c>
      <c r="DD96" s="36"/>
      <c r="DE96" s="33" t="s">
        <v>4</v>
      </c>
      <c r="DF96" s="33" t="s">
        <v>38</v>
      </c>
      <c r="DG96" s="33" t="s">
        <v>39</v>
      </c>
      <c r="DH96" s="35"/>
      <c r="DI96" s="86"/>
      <c r="DJ96" s="35"/>
      <c r="DK96" s="77" t="s">
        <v>47</v>
      </c>
      <c r="DL96" s="72"/>
      <c r="DM96" s="73"/>
      <c r="DN96" s="36"/>
      <c r="DO96" s="39" t="s">
        <v>4</v>
      </c>
      <c r="DP96" s="39" t="s">
        <v>48</v>
      </c>
      <c r="DQ96" s="39" t="s">
        <v>39</v>
      </c>
      <c r="DR96" s="36"/>
      <c r="DS96" s="33" t="s">
        <v>4</v>
      </c>
      <c r="DT96" s="33" t="s">
        <v>38</v>
      </c>
      <c r="DU96" s="33" t="s">
        <v>39</v>
      </c>
      <c r="DV96" s="35"/>
      <c r="DW96" s="86"/>
      <c r="DX96" s="35"/>
      <c r="DY96" s="77" t="s">
        <v>47</v>
      </c>
      <c r="DZ96" s="72"/>
      <c r="EA96" s="73"/>
      <c r="EB96" s="36"/>
      <c r="EC96" s="39" t="s">
        <v>4</v>
      </c>
      <c r="ED96" s="39" t="s">
        <v>48</v>
      </c>
      <c r="EE96" s="39" t="s">
        <v>39</v>
      </c>
      <c r="EF96" s="36"/>
      <c r="EG96" s="33" t="s">
        <v>4</v>
      </c>
      <c r="EH96" s="33" t="s">
        <v>38</v>
      </c>
      <c r="EI96" s="33" t="s">
        <v>39</v>
      </c>
      <c r="EJ96" s="35"/>
      <c r="EK96" s="86"/>
      <c r="EL96" s="35"/>
      <c r="EM96" s="77" t="s">
        <v>47</v>
      </c>
      <c r="EN96" s="72"/>
      <c r="EO96" s="73"/>
      <c r="EP96" s="36"/>
      <c r="EQ96" s="39" t="s">
        <v>4</v>
      </c>
      <c r="ER96" s="39" t="s">
        <v>48</v>
      </c>
      <c r="ES96" s="39" t="s">
        <v>39</v>
      </c>
      <c r="ET96" s="36"/>
      <c r="EU96" s="33" t="s">
        <v>4</v>
      </c>
      <c r="EV96" s="33" t="s">
        <v>38</v>
      </c>
      <c r="EW96" s="33" t="s">
        <v>39</v>
      </c>
      <c r="EX96" s="35"/>
      <c r="EY96" s="86"/>
      <c r="EZ96" s="35"/>
      <c r="FA96" s="77" t="s">
        <v>47</v>
      </c>
      <c r="FB96" s="72"/>
      <c r="FC96" s="73"/>
      <c r="FD96" s="36"/>
      <c r="FE96" s="39" t="s">
        <v>4</v>
      </c>
      <c r="FF96" s="39" t="s">
        <v>48</v>
      </c>
      <c r="FG96" s="39" t="s">
        <v>39</v>
      </c>
      <c r="FH96" s="36"/>
      <c r="FI96" s="33" t="s">
        <v>4</v>
      </c>
      <c r="FJ96" s="33" t="s">
        <v>38</v>
      </c>
      <c r="FK96" s="33" t="s">
        <v>39</v>
      </c>
      <c r="FL96" s="35"/>
      <c r="FM96" s="86"/>
    </row>
    <row r="97" spans="1:169" ht="15.75" customHeight="1">
      <c r="A97" s="86"/>
      <c r="B97" s="34"/>
      <c r="C97" s="47" t="s">
        <v>4</v>
      </c>
      <c r="D97" s="32" t="s">
        <v>38</v>
      </c>
      <c r="E97" s="32" t="s">
        <v>39</v>
      </c>
      <c r="F97" s="30" t="str">
        <f>"берем около " &amp; INT(0.6*F35)&amp; "кг"</f>
        <v>берем около 0кг</v>
      </c>
      <c r="G97" s="39"/>
      <c r="H97" s="39">
        <v>1</v>
      </c>
      <c r="I97" s="39"/>
      <c r="J97" s="30" t="str">
        <f>"берем около " &amp; INT(0.6*F49)&amp; "кг"</f>
        <v>берем около 0кг</v>
      </c>
      <c r="K97" s="33"/>
      <c r="L97" s="33">
        <v>1</v>
      </c>
      <c r="M97" s="33"/>
      <c r="O97" s="86"/>
      <c r="Q97" s="47" t="s">
        <v>4</v>
      </c>
      <c r="R97" s="32" t="s">
        <v>38</v>
      </c>
      <c r="S97" s="32" t="s">
        <v>39</v>
      </c>
      <c r="T97" s="30"/>
      <c r="U97" s="45" t="str">
        <f>IF(I97="", "", IF(I97&gt;12, G97+2.5, IF(I97&lt;10, G97-2.5, G97)))</f>
        <v/>
      </c>
      <c r="V97" s="39">
        <v>1</v>
      </c>
      <c r="W97" s="39"/>
      <c r="X97" s="36"/>
      <c r="Y97" s="45" t="str">
        <f>IF(M97="", "", IF(M97&gt;12, K97+5, IF(M97&lt;10, K97-5, K97)))</f>
        <v/>
      </c>
      <c r="Z97" s="33">
        <v>1</v>
      </c>
      <c r="AA97" s="33"/>
      <c r="AC97" s="86"/>
      <c r="AD97" s="35"/>
      <c r="AE97" s="47" t="s">
        <v>4</v>
      </c>
      <c r="AF97" s="32" t="s">
        <v>38</v>
      </c>
      <c r="AG97" s="32" t="s">
        <v>39</v>
      </c>
      <c r="AH97" s="30"/>
      <c r="AI97" s="45" t="str">
        <f>IF(W97="", "", IF(W97&gt;12, U97+2.5, IF(W97&lt;10, U97-2.5, U97)))</f>
        <v/>
      </c>
      <c r="AJ97" s="39">
        <v>1</v>
      </c>
      <c r="AK97" s="39"/>
      <c r="AL97" s="36"/>
      <c r="AM97" s="45" t="str">
        <f>IF(AA97="", "", IF(AA97&gt;12, Y97+5, IF(AA97&lt;10, Y97-5, Y97)))</f>
        <v/>
      </c>
      <c r="AN97" s="33">
        <v>1</v>
      </c>
      <c r="AO97" s="33"/>
      <c r="AP97" s="35"/>
      <c r="AQ97" s="86"/>
      <c r="AR97" s="35"/>
      <c r="AS97" s="47" t="s">
        <v>4</v>
      </c>
      <c r="AT97" s="32" t="s">
        <v>38</v>
      </c>
      <c r="AU97" s="32" t="s">
        <v>39</v>
      </c>
      <c r="AV97" s="30"/>
      <c r="AW97" s="45" t="str">
        <f>IF(AK97="", "", IF(AK97&gt;12, AI97+2.5, IF(AK97&lt;10, AI97-2.5, AI97)))</f>
        <v/>
      </c>
      <c r="AX97" s="39">
        <v>1</v>
      </c>
      <c r="AY97" s="39"/>
      <c r="AZ97" s="36"/>
      <c r="BA97" s="45" t="str">
        <f>IF(AO97="", "", IF(AO97&gt;12, AM97+5, IF(AO97&lt;10, AM97-5, AM97)))</f>
        <v/>
      </c>
      <c r="BB97" s="33">
        <v>1</v>
      </c>
      <c r="BC97" s="33"/>
      <c r="BD97" s="35"/>
      <c r="BE97" s="86"/>
      <c r="BF97" s="35"/>
      <c r="BG97" s="47" t="s">
        <v>4</v>
      </c>
      <c r="BH97" s="32" t="s">
        <v>38</v>
      </c>
      <c r="BI97" s="32" t="s">
        <v>39</v>
      </c>
      <c r="BJ97" s="30"/>
      <c r="BK97" s="45" t="str">
        <f>IF(AY97="", "", IF(AY97&gt;12, AW97+2.5, IF(AY97&lt;10, AW97-2.5, AW97)))</f>
        <v/>
      </c>
      <c r="BL97" s="39">
        <v>1</v>
      </c>
      <c r="BM97" s="39"/>
      <c r="BN97" s="36"/>
      <c r="BO97" s="45" t="str">
        <f>IF(BC97="", "", IF(BC97&gt;12, BA97+5, IF(BC97&lt;10, BA97-5, BA97)))</f>
        <v/>
      </c>
      <c r="BP97" s="33">
        <v>1</v>
      </c>
      <c r="BQ97" s="33"/>
      <c r="BR97" s="35"/>
      <c r="BS97" s="86"/>
      <c r="BT97" s="35"/>
      <c r="BU97" s="47" t="s">
        <v>4</v>
      </c>
      <c r="BV97" s="32" t="s">
        <v>38</v>
      </c>
      <c r="BW97" s="32" t="s">
        <v>39</v>
      </c>
      <c r="BX97" s="30"/>
      <c r="BY97" s="45" t="str">
        <f>IF(BM97="", "", IF(BM97&gt;12, BK97+2.5, IF(BM97&lt;10, BK97-2.5, BK97)))</f>
        <v/>
      </c>
      <c r="BZ97" s="39">
        <v>1</v>
      </c>
      <c r="CA97" s="39"/>
      <c r="CB97" s="36"/>
      <c r="CC97" s="45" t="str">
        <f>IF(BQ97="", "", IF(BQ97&gt;12, BO97+5, IF(BQ97&lt;10, BO97-5, BO97)))</f>
        <v/>
      </c>
      <c r="CD97" s="33">
        <v>1</v>
      </c>
      <c r="CE97" s="33"/>
      <c r="CF97" s="35"/>
      <c r="CG97" s="86"/>
      <c r="CH97" s="35"/>
      <c r="CI97" s="47" t="s">
        <v>4</v>
      </c>
      <c r="CJ97" s="32" t="s">
        <v>38</v>
      </c>
      <c r="CK97" s="32" t="s">
        <v>39</v>
      </c>
      <c r="CL97" s="30"/>
      <c r="CM97" s="45" t="str">
        <f>IF(CA97="", "", IF(CA97&gt;12, BY97+2.5, IF(CA97&lt;10, BY97-2.5, BY97)))</f>
        <v/>
      </c>
      <c r="CN97" s="39">
        <v>1</v>
      </c>
      <c r="CO97" s="39"/>
      <c r="CP97" s="36"/>
      <c r="CQ97" s="45" t="str">
        <f>IF(CE97="", "", IF(CE97&gt;12, CC97+5, IF(CE97&lt;10, CC97-5, CC97)))</f>
        <v/>
      </c>
      <c r="CR97" s="33">
        <v>1</v>
      </c>
      <c r="CS97" s="33"/>
      <c r="CT97" s="35"/>
      <c r="CU97" s="86"/>
      <c r="CV97" s="35"/>
      <c r="CW97" s="47" t="s">
        <v>4</v>
      </c>
      <c r="CX97" s="32" t="s">
        <v>38</v>
      </c>
      <c r="CY97" s="32" t="s">
        <v>39</v>
      </c>
      <c r="CZ97" s="30"/>
      <c r="DA97" s="45" t="str">
        <f>IF(CO97="", "", IF(CO97&gt;12, CM97+2.5, IF(CO97&lt;10, CM97-2.5, CM97)))</f>
        <v/>
      </c>
      <c r="DB97" s="39">
        <v>1</v>
      </c>
      <c r="DC97" s="39"/>
      <c r="DD97" s="36"/>
      <c r="DE97" s="45" t="str">
        <f>IF(CS97="", "", IF(CS97&gt;12, CQ97+5, IF(CS97&lt;10, CQ97-5, CQ97)))</f>
        <v/>
      </c>
      <c r="DF97" s="33">
        <v>1</v>
      </c>
      <c r="DG97" s="33"/>
      <c r="DH97" s="35"/>
      <c r="DI97" s="86"/>
      <c r="DJ97" s="35"/>
      <c r="DK97" s="47" t="s">
        <v>4</v>
      </c>
      <c r="DL97" s="32" t="s">
        <v>38</v>
      </c>
      <c r="DM97" s="32" t="s">
        <v>39</v>
      </c>
      <c r="DN97" s="30"/>
      <c r="DO97" s="45" t="str">
        <f>IF(DC97="", "", IF(DC97&gt;12, DA97+2.5, IF(DC97&lt;10, DA97-2.5, DA97)))</f>
        <v/>
      </c>
      <c r="DP97" s="39">
        <v>1</v>
      </c>
      <c r="DQ97" s="39"/>
      <c r="DR97" s="36"/>
      <c r="DS97" s="45" t="str">
        <f>IF(DG97="", "", IF(DG97&gt;12, DE97+5, IF(DG97&lt;10, DE97-5, DE97)))</f>
        <v/>
      </c>
      <c r="DT97" s="33">
        <v>1</v>
      </c>
      <c r="DU97" s="33"/>
      <c r="DV97" s="35"/>
      <c r="DW97" s="86"/>
      <c r="DX97" s="35"/>
      <c r="DY97" s="47" t="s">
        <v>4</v>
      </c>
      <c r="DZ97" s="32" t="s">
        <v>38</v>
      </c>
      <c r="EA97" s="32" t="s">
        <v>39</v>
      </c>
      <c r="EB97" s="30"/>
      <c r="EC97" s="45" t="str">
        <f>IF(DQ97="", "", IF(DQ97&gt;12, DO97+2.5, IF(DQ97&lt;10, DO97-2.5, DO97)))</f>
        <v/>
      </c>
      <c r="ED97" s="39">
        <v>1</v>
      </c>
      <c r="EE97" s="39"/>
      <c r="EF97" s="36"/>
      <c r="EG97" s="45" t="str">
        <f>IF(DU97="", "", IF(DU97&gt;12, DS97+5, IF(DU97&lt;10, DS97-5, DS97)))</f>
        <v/>
      </c>
      <c r="EH97" s="33">
        <v>1</v>
      </c>
      <c r="EI97" s="33"/>
      <c r="EJ97" s="35"/>
      <c r="EK97" s="86"/>
      <c r="EL97" s="35"/>
      <c r="EM97" s="47" t="s">
        <v>4</v>
      </c>
      <c r="EN97" s="32" t="s">
        <v>38</v>
      </c>
      <c r="EO97" s="32" t="s">
        <v>39</v>
      </c>
      <c r="EP97" s="30"/>
      <c r="EQ97" s="45" t="str">
        <f>IF(EE97="", "", IF(EE97&gt;12, EC97+2.5, IF(EE97&lt;10, EC97-2.5, EC97)))</f>
        <v/>
      </c>
      <c r="ER97" s="39">
        <v>1</v>
      </c>
      <c r="ES97" s="39"/>
      <c r="ET97" s="36"/>
      <c r="EU97" s="45" t="str">
        <f>IF(EI97="", "", IF(EI97&gt;12, EG97+5, IF(EI97&lt;10, EG97-5, EG97)))</f>
        <v/>
      </c>
      <c r="EV97" s="33">
        <v>1</v>
      </c>
      <c r="EW97" s="33"/>
      <c r="EX97" s="35"/>
      <c r="EY97" s="86"/>
      <c r="EZ97" s="35"/>
      <c r="FA97" s="47" t="s">
        <v>4</v>
      </c>
      <c r="FB97" s="32" t="s">
        <v>38</v>
      </c>
      <c r="FC97" s="32" t="s">
        <v>39</v>
      </c>
      <c r="FD97" s="30"/>
      <c r="FE97" s="45" t="str">
        <f>IF(ES97="", "", IF(ES97&gt;12, EQ97+2.5, IF(ES97&lt;10, EQ97-2.5, EQ97)))</f>
        <v/>
      </c>
      <c r="FF97" s="39">
        <v>1</v>
      </c>
      <c r="FG97" s="39"/>
      <c r="FH97" s="36"/>
      <c r="FI97" s="45" t="str">
        <f>IF(EW97="", "", IF(EW97&gt;12, EU97+5, IF(EW97&lt;10, EU97-5, EU97)))</f>
        <v/>
      </c>
      <c r="FJ97" s="33">
        <v>1</v>
      </c>
      <c r="FK97" s="33"/>
      <c r="FL97" s="35"/>
      <c r="FM97" s="86"/>
    </row>
    <row r="98" spans="1:169" ht="15.75" customHeight="1">
      <c r="A98" s="86"/>
      <c r="B98" s="30" t="str">
        <f>"берем около " &amp; INT(0.6*F19)&amp; "кг"</f>
        <v>берем около 0кг</v>
      </c>
      <c r="C98" s="47"/>
      <c r="D98" s="32">
        <v>1</v>
      </c>
      <c r="E98" s="32"/>
      <c r="F98" s="36"/>
      <c r="G98" s="39"/>
      <c r="H98" s="39">
        <v>2</v>
      </c>
      <c r="I98" s="39"/>
      <c r="J98" s="30"/>
      <c r="K98" s="33"/>
      <c r="L98" s="33">
        <v>2</v>
      </c>
      <c r="M98" s="33"/>
      <c r="O98" s="86"/>
      <c r="Q98" s="45" t="str">
        <f>IF(E98="", "", IF(E98&gt;12, C98+5, IF(E98&lt;10, C98-5, C98)))</f>
        <v/>
      </c>
      <c r="R98" s="32">
        <v>1</v>
      </c>
      <c r="S98" s="32"/>
      <c r="T98" s="36"/>
      <c r="U98" s="45" t="str">
        <f>IF(I97="", "", IF(I97&gt;12, G97+2.5, IF(I97&lt;10, G97-2.5, G97)))</f>
        <v/>
      </c>
      <c r="V98" s="39">
        <v>2</v>
      </c>
      <c r="W98" s="39"/>
      <c r="X98" s="30"/>
      <c r="Y98" s="45" t="str">
        <f>IF(M97="", "", IF(M97&gt;12, K97+5, IF(M97&lt;10, K97-5, K97)))</f>
        <v/>
      </c>
      <c r="Z98" s="33">
        <v>2</v>
      </c>
      <c r="AA98" s="33"/>
      <c r="AC98" s="86"/>
      <c r="AD98" s="35"/>
      <c r="AE98" s="45" t="str">
        <f>IF(S98="", "", IF(S98&gt;12, Q98+5, IF(S98&lt;10, Q98-5, Q98)))</f>
        <v/>
      </c>
      <c r="AF98" s="32">
        <v>1</v>
      </c>
      <c r="AG98" s="32"/>
      <c r="AH98" s="36"/>
      <c r="AI98" s="45" t="str">
        <f>IF(W97="", "", IF(W97&gt;12, U97+2.5, IF(W97&lt;10, U97-2.5, U97)))</f>
        <v/>
      </c>
      <c r="AJ98" s="39">
        <v>2</v>
      </c>
      <c r="AK98" s="39"/>
      <c r="AL98" s="30"/>
      <c r="AM98" s="45" t="str">
        <f>IF(AA97="", "", IF(AA97&gt;12, Y97+5, IF(AA97&lt;10, Y97-5, Y97)))</f>
        <v/>
      </c>
      <c r="AN98" s="33">
        <v>2</v>
      </c>
      <c r="AO98" s="33"/>
      <c r="AP98" s="35"/>
      <c r="AQ98" s="86"/>
      <c r="AR98" s="35"/>
      <c r="AS98" s="45" t="str">
        <f>IF(AG98="", "", IF(AG98&gt;12, AE98+5, IF(AG98&lt;10, AE98-5, AE98)))</f>
        <v/>
      </c>
      <c r="AT98" s="32">
        <v>1</v>
      </c>
      <c r="AU98" s="32"/>
      <c r="AV98" s="36"/>
      <c r="AW98" s="45" t="str">
        <f>IF(AK97="", "", IF(AK97&gt;12, AI97+2.5, IF(AK97&lt;10, AI97-2.5, AI97)))</f>
        <v/>
      </c>
      <c r="AX98" s="39">
        <v>2</v>
      </c>
      <c r="AY98" s="39"/>
      <c r="AZ98" s="30"/>
      <c r="BA98" s="45" t="str">
        <f>IF(AO97="", "", IF(AO97&gt;12, AM97+5, IF(AO97&lt;10, AM97-5, AM97)))</f>
        <v/>
      </c>
      <c r="BB98" s="33">
        <v>2</v>
      </c>
      <c r="BC98" s="33"/>
      <c r="BD98" s="35"/>
      <c r="BE98" s="86"/>
      <c r="BF98" s="35"/>
      <c r="BG98" s="45" t="str">
        <f>IF(AU98="", "", IF(AU98&gt;12, AS98+5, IF(AU98&lt;10, AS98-5, AS98)))</f>
        <v/>
      </c>
      <c r="BH98" s="32">
        <v>1</v>
      </c>
      <c r="BI98" s="32"/>
      <c r="BJ98" s="36"/>
      <c r="BK98" s="45" t="str">
        <f>IF(AY97="", "", IF(AY97&gt;12, AW97+2.5, IF(AY97&lt;10, AW97-2.5, AW97)))</f>
        <v/>
      </c>
      <c r="BL98" s="39">
        <v>2</v>
      </c>
      <c r="BM98" s="39"/>
      <c r="BN98" s="30"/>
      <c r="BO98" s="45" t="str">
        <f>IF(BC97="", "", IF(BC97&gt;12, BA97+5, IF(BC97&lt;10, BA97-5, BA97)))</f>
        <v/>
      </c>
      <c r="BP98" s="33">
        <v>2</v>
      </c>
      <c r="BQ98" s="33"/>
      <c r="BR98" s="35"/>
      <c r="BS98" s="86"/>
      <c r="BT98" s="35"/>
      <c r="BU98" s="45" t="str">
        <f>IF(BI98="", "", IF(BI98&gt;12, BG98+5, IF(BI98&lt;10, BG98-5, BG98)))</f>
        <v/>
      </c>
      <c r="BV98" s="32">
        <v>1</v>
      </c>
      <c r="BW98" s="32"/>
      <c r="BX98" s="36"/>
      <c r="BY98" s="45" t="str">
        <f>IF(BM97="", "", IF(BM97&gt;12, BK97+2.5, IF(BM97&lt;10, BK97-2.5, BK97)))</f>
        <v/>
      </c>
      <c r="BZ98" s="39">
        <v>2</v>
      </c>
      <c r="CA98" s="39"/>
      <c r="CB98" s="30"/>
      <c r="CC98" s="45" t="str">
        <f>IF(BQ97="", "", IF(BQ97&gt;12, BO97+5, IF(BQ97&lt;10, BO97-5, BO97)))</f>
        <v/>
      </c>
      <c r="CD98" s="33">
        <v>2</v>
      </c>
      <c r="CE98" s="33"/>
      <c r="CF98" s="35"/>
      <c r="CG98" s="86"/>
      <c r="CH98" s="35"/>
      <c r="CI98" s="45" t="str">
        <f>IF(BW98="", "", IF(BW98&gt;12, BU98+5, IF(BW98&lt;10, BU98-5, BU98)))</f>
        <v/>
      </c>
      <c r="CJ98" s="32">
        <v>1</v>
      </c>
      <c r="CK98" s="32"/>
      <c r="CL98" s="36"/>
      <c r="CM98" s="45" t="str">
        <f>IF(CA97="", "", IF(CA97&gt;12, BY97+2.5, IF(CA97&lt;10, BY97-2.5, BY97)))</f>
        <v/>
      </c>
      <c r="CN98" s="39">
        <v>2</v>
      </c>
      <c r="CO98" s="39"/>
      <c r="CP98" s="30"/>
      <c r="CQ98" s="45" t="str">
        <f>IF(CE97="", "", IF(CE97&gt;12, CC97+5, IF(CE97&lt;10, CC97-5, CC97)))</f>
        <v/>
      </c>
      <c r="CR98" s="33">
        <v>2</v>
      </c>
      <c r="CS98" s="33"/>
      <c r="CT98" s="35"/>
      <c r="CU98" s="86"/>
      <c r="CV98" s="35"/>
      <c r="CW98" s="45" t="str">
        <f>IF(CK98="", "", IF(CK98&gt;12, CI98+5, IF(CK98&lt;10, CI98-5, CI98)))</f>
        <v/>
      </c>
      <c r="CX98" s="32">
        <v>1</v>
      </c>
      <c r="CY98" s="32"/>
      <c r="CZ98" s="36"/>
      <c r="DA98" s="45" t="str">
        <f>IF(CO97="", "", IF(CO97&gt;12, CM97+2.5, IF(CO97&lt;10, CM97-2.5, CM97)))</f>
        <v/>
      </c>
      <c r="DB98" s="39">
        <v>2</v>
      </c>
      <c r="DC98" s="39"/>
      <c r="DD98" s="30"/>
      <c r="DE98" s="45" t="str">
        <f>IF(CS97="", "", IF(CS97&gt;12, CQ97+5, IF(CS97&lt;10, CQ97-5, CQ97)))</f>
        <v/>
      </c>
      <c r="DF98" s="33">
        <v>2</v>
      </c>
      <c r="DG98" s="33"/>
      <c r="DH98" s="35"/>
      <c r="DI98" s="86"/>
      <c r="DJ98" s="35"/>
      <c r="DK98" s="45" t="str">
        <f>IF(CY98="", "", IF(CY98&gt;12, CW98+5, IF(CY98&lt;10, CW98-5, CW98)))</f>
        <v/>
      </c>
      <c r="DL98" s="32">
        <v>1</v>
      </c>
      <c r="DM98" s="32"/>
      <c r="DN98" s="36"/>
      <c r="DO98" s="45" t="str">
        <f>IF(DC97="", "", IF(DC97&gt;12, DA97+2.5, IF(DC97&lt;10, DA97-2.5, DA97)))</f>
        <v/>
      </c>
      <c r="DP98" s="39">
        <v>2</v>
      </c>
      <c r="DQ98" s="39"/>
      <c r="DR98" s="30"/>
      <c r="DS98" s="45" t="str">
        <f>IF(DG97="", "", IF(DG97&gt;12, DE97+5, IF(DG97&lt;10, DE97-5, DE97)))</f>
        <v/>
      </c>
      <c r="DT98" s="33">
        <v>2</v>
      </c>
      <c r="DU98" s="33"/>
      <c r="DV98" s="35"/>
      <c r="DW98" s="86"/>
      <c r="DX98" s="35"/>
      <c r="DY98" s="45" t="str">
        <f>IF(DM98="", "", IF(DM98&gt;12, DK98+5, IF(DM98&lt;10, DK98-5, DK98)))</f>
        <v/>
      </c>
      <c r="DZ98" s="32">
        <v>1</v>
      </c>
      <c r="EA98" s="32"/>
      <c r="EB98" s="36"/>
      <c r="EC98" s="45" t="str">
        <f>IF(DQ97="", "", IF(DQ97&gt;12, DO97+2.5, IF(DQ97&lt;10, DO97-2.5, DO97)))</f>
        <v/>
      </c>
      <c r="ED98" s="39">
        <v>2</v>
      </c>
      <c r="EE98" s="39"/>
      <c r="EF98" s="30"/>
      <c r="EG98" s="45" t="str">
        <f>IF(DU97="", "", IF(DU97&gt;12, DS97+5, IF(DU97&lt;10, DS97-5, DS97)))</f>
        <v/>
      </c>
      <c r="EH98" s="33">
        <v>2</v>
      </c>
      <c r="EI98" s="33"/>
      <c r="EJ98" s="35"/>
      <c r="EK98" s="86"/>
      <c r="EL98" s="35"/>
      <c r="EM98" s="45" t="str">
        <f>IF(EA98="", "", IF(EA98&gt;12, DY98+5, IF(EA98&lt;10, DY98-5, DY98)))</f>
        <v/>
      </c>
      <c r="EN98" s="32">
        <v>1</v>
      </c>
      <c r="EO98" s="32"/>
      <c r="EP98" s="36"/>
      <c r="EQ98" s="45" t="str">
        <f>IF(EE97="", "", IF(EE97&gt;12, EC97+2.5, IF(EE97&lt;10, EC97-2.5, EC97)))</f>
        <v/>
      </c>
      <c r="ER98" s="39">
        <v>2</v>
      </c>
      <c r="ES98" s="39"/>
      <c r="ET98" s="30"/>
      <c r="EU98" s="45" t="str">
        <f>IF(EI97="", "", IF(EI97&gt;12, EG97+5, IF(EI97&lt;10, EG97-5, EG97)))</f>
        <v/>
      </c>
      <c r="EV98" s="33">
        <v>2</v>
      </c>
      <c r="EW98" s="33"/>
      <c r="EX98" s="35"/>
      <c r="EY98" s="86"/>
      <c r="EZ98" s="35"/>
      <c r="FA98" s="45" t="str">
        <f>IF(EO98="", "", IF(EO98&gt;12, EM98+5, IF(EO98&lt;10, EM98-5, EM98)))</f>
        <v/>
      </c>
      <c r="FB98" s="32">
        <v>1</v>
      </c>
      <c r="FC98" s="32"/>
      <c r="FD98" s="36"/>
      <c r="FE98" s="45" t="str">
        <f>IF(ES97="", "", IF(ES97&gt;12, EQ97+2.5, IF(ES97&lt;10, EQ97-2.5, EQ97)))</f>
        <v/>
      </c>
      <c r="FF98" s="39">
        <v>2</v>
      </c>
      <c r="FG98" s="39"/>
      <c r="FH98" s="30"/>
      <c r="FI98" s="45" t="str">
        <f>IF(EW97="", "", IF(EW97&gt;12, EU97+5, IF(EW97&lt;10, EU97-5, EU97)))</f>
        <v/>
      </c>
      <c r="FJ98" s="33">
        <v>2</v>
      </c>
      <c r="FK98" s="33"/>
      <c r="FL98" s="35"/>
      <c r="FM98" s="86"/>
    </row>
    <row r="99" spans="1:169" ht="15.75" customHeight="1">
      <c r="A99" s="86"/>
      <c r="C99" s="47"/>
      <c r="D99" s="32">
        <v>2</v>
      </c>
      <c r="E99" s="32"/>
      <c r="F99" s="36"/>
      <c r="G99" s="39"/>
      <c r="H99" s="39">
        <v>3</v>
      </c>
      <c r="I99" s="39"/>
      <c r="J99" s="36"/>
      <c r="K99" s="33"/>
      <c r="L99" s="33">
        <v>3</v>
      </c>
      <c r="M99" s="33"/>
      <c r="O99" s="86"/>
      <c r="Q99" s="45" t="str">
        <f>IF(E98="", "", IF(E98&gt;12, C98+5, IF(E98&lt;10, C98-5, C98)))</f>
        <v/>
      </c>
      <c r="R99" s="32">
        <v>2</v>
      </c>
      <c r="S99" s="32"/>
      <c r="T99" s="36"/>
      <c r="U99" s="45" t="str">
        <f>IF(I97="", "", IF(I97&gt;12, G97+2.5, IF(I97&lt;10, G97-2.5, G97)))</f>
        <v/>
      </c>
      <c r="V99" s="39">
        <v>3</v>
      </c>
      <c r="W99" s="39"/>
      <c r="X99" s="36"/>
      <c r="Y99" s="45" t="str">
        <f>IF(M97="", "", IF(M97&gt;12, K97+5, IF(M97&lt;10, K97-5, K97)))</f>
        <v/>
      </c>
      <c r="Z99" s="33">
        <v>3</v>
      </c>
      <c r="AA99" s="33"/>
      <c r="AC99" s="86"/>
      <c r="AD99" s="35"/>
      <c r="AE99" s="45" t="str">
        <f>IF(S98="", "", IF(S98&gt;12, Q98+5, IF(S98&lt;10, Q98-5, Q98)))</f>
        <v/>
      </c>
      <c r="AF99" s="32">
        <v>2</v>
      </c>
      <c r="AG99" s="32"/>
      <c r="AH99" s="36"/>
      <c r="AI99" s="45" t="str">
        <f>IF(W97="", "", IF(W97&gt;12, U97+2.5, IF(W97&lt;10, U97-2.5, U97)))</f>
        <v/>
      </c>
      <c r="AJ99" s="39">
        <v>3</v>
      </c>
      <c r="AK99" s="39"/>
      <c r="AL99" s="36"/>
      <c r="AM99" s="45" t="str">
        <f>IF(AA97="", "", IF(AA97&gt;12, Y97+5, IF(AA97&lt;10, Y97-5, Y97)))</f>
        <v/>
      </c>
      <c r="AN99" s="33">
        <v>3</v>
      </c>
      <c r="AO99" s="33"/>
      <c r="AP99" s="35"/>
      <c r="AQ99" s="86"/>
      <c r="AR99" s="35"/>
      <c r="AS99" s="45" t="str">
        <f>IF(AG98="", "", IF(AG98&gt;12, AE98+5, IF(AG98&lt;10, AE98-5, AE98)))</f>
        <v/>
      </c>
      <c r="AT99" s="32">
        <v>2</v>
      </c>
      <c r="AU99" s="32"/>
      <c r="AV99" s="36"/>
      <c r="AW99" s="45" t="str">
        <f>IF(AK97="", "", IF(AK97&gt;12, AI97+2.5, IF(AK97&lt;10, AI97-2.5, AI97)))</f>
        <v/>
      </c>
      <c r="AX99" s="39">
        <v>3</v>
      </c>
      <c r="AY99" s="39"/>
      <c r="AZ99" s="36"/>
      <c r="BA99" s="45" t="str">
        <f>IF(AO97="", "", IF(AO97&gt;12, AM97+5, IF(AO97&lt;10, AM97-5, AM97)))</f>
        <v/>
      </c>
      <c r="BB99" s="33">
        <v>3</v>
      </c>
      <c r="BC99" s="33"/>
      <c r="BD99" s="35"/>
      <c r="BE99" s="86"/>
      <c r="BF99" s="35"/>
      <c r="BG99" s="45" t="str">
        <f>IF(AU98="", "", IF(AU98&gt;12, AS98+5, IF(AU98&lt;10, AS98-5, AS98)))</f>
        <v/>
      </c>
      <c r="BH99" s="32">
        <v>2</v>
      </c>
      <c r="BI99" s="32"/>
      <c r="BJ99" s="36"/>
      <c r="BK99" s="45" t="str">
        <f>IF(AY97="", "", IF(AY97&gt;12, AW97+2.5, IF(AY97&lt;10, AW97-2.5, AW97)))</f>
        <v/>
      </c>
      <c r="BL99" s="39">
        <v>3</v>
      </c>
      <c r="BM99" s="39"/>
      <c r="BN99" s="36"/>
      <c r="BO99" s="45" t="str">
        <f>IF(BC97="", "", IF(BC97&gt;12, BA97+5, IF(BC97&lt;10, BA97-5, BA97)))</f>
        <v/>
      </c>
      <c r="BP99" s="33">
        <v>3</v>
      </c>
      <c r="BQ99" s="33"/>
      <c r="BR99" s="35"/>
      <c r="BS99" s="86"/>
      <c r="BT99" s="35"/>
      <c r="BU99" s="45" t="str">
        <f>IF(BI98="", "", IF(BI98&gt;12, BG98+5, IF(BI98&lt;10, BG98-5, BG98)))</f>
        <v/>
      </c>
      <c r="BV99" s="32">
        <v>2</v>
      </c>
      <c r="BW99" s="32"/>
      <c r="BX99" s="36"/>
      <c r="BY99" s="45" t="str">
        <f>IF(BM97="", "", IF(BM97&gt;12, BK97+2.5, IF(BM97&lt;10, BK97-2.5, BK97)))</f>
        <v/>
      </c>
      <c r="BZ99" s="39">
        <v>3</v>
      </c>
      <c r="CA99" s="39"/>
      <c r="CB99" s="36"/>
      <c r="CC99" s="45" t="str">
        <f>IF(BQ97="", "", IF(BQ97&gt;12, BO97+5, IF(BQ97&lt;10, BO97-5, BO97)))</f>
        <v/>
      </c>
      <c r="CD99" s="33">
        <v>3</v>
      </c>
      <c r="CE99" s="33"/>
      <c r="CF99" s="35"/>
      <c r="CG99" s="86"/>
      <c r="CH99" s="35"/>
      <c r="CI99" s="45" t="str">
        <f>IF(BW98="", "", IF(BW98&gt;12, BU98+5, IF(BW98&lt;10, BU98-5, BU98)))</f>
        <v/>
      </c>
      <c r="CJ99" s="32">
        <v>2</v>
      </c>
      <c r="CK99" s="32"/>
      <c r="CL99" s="36"/>
      <c r="CM99" s="45" t="str">
        <f>IF(CA97="", "", IF(CA97&gt;12, BY97+2.5, IF(CA97&lt;10, BY97-2.5, BY97)))</f>
        <v/>
      </c>
      <c r="CN99" s="39">
        <v>3</v>
      </c>
      <c r="CO99" s="39"/>
      <c r="CP99" s="36"/>
      <c r="CQ99" s="45" t="str">
        <f>IF(CE97="", "", IF(CE97&gt;12, CC97+5, IF(CE97&lt;10, CC97-5, CC97)))</f>
        <v/>
      </c>
      <c r="CR99" s="33">
        <v>3</v>
      </c>
      <c r="CS99" s="33"/>
      <c r="CT99" s="35"/>
      <c r="CU99" s="86"/>
      <c r="CV99" s="35"/>
      <c r="CW99" s="45" t="str">
        <f>IF(CK98="", "", IF(CK98&gt;12, CI98+5, IF(CK98&lt;10, CI98-5, CI98)))</f>
        <v/>
      </c>
      <c r="CX99" s="32">
        <v>2</v>
      </c>
      <c r="CY99" s="32"/>
      <c r="CZ99" s="36"/>
      <c r="DA99" s="45" t="str">
        <f>IF(CO97="", "", IF(CO97&gt;12, CM97+2.5, IF(CO97&lt;10, CM97-2.5, CM97)))</f>
        <v/>
      </c>
      <c r="DB99" s="39">
        <v>3</v>
      </c>
      <c r="DC99" s="39"/>
      <c r="DD99" s="36"/>
      <c r="DE99" s="45" t="str">
        <f>IF(CS97="", "", IF(CS97&gt;12, CQ97+5, IF(CS97&lt;10, CQ97-5, CQ97)))</f>
        <v/>
      </c>
      <c r="DF99" s="33">
        <v>3</v>
      </c>
      <c r="DG99" s="33"/>
      <c r="DH99" s="35"/>
      <c r="DI99" s="86"/>
      <c r="DJ99" s="35"/>
      <c r="DK99" s="45" t="str">
        <f>IF(CY98="", "", IF(CY98&gt;12, CW98+5, IF(CY98&lt;10, CW98-5, CW98)))</f>
        <v/>
      </c>
      <c r="DL99" s="32">
        <v>2</v>
      </c>
      <c r="DM99" s="32"/>
      <c r="DN99" s="36"/>
      <c r="DO99" s="45" t="str">
        <f>IF(DC97="", "", IF(DC97&gt;12, DA97+2.5, IF(DC97&lt;10, DA97-2.5, DA97)))</f>
        <v/>
      </c>
      <c r="DP99" s="39">
        <v>3</v>
      </c>
      <c r="DQ99" s="39"/>
      <c r="DR99" s="36"/>
      <c r="DS99" s="45" t="str">
        <f>IF(DG97="", "", IF(DG97&gt;12, DE97+5, IF(DG97&lt;10, DE97-5, DE97)))</f>
        <v/>
      </c>
      <c r="DT99" s="33">
        <v>3</v>
      </c>
      <c r="DU99" s="33"/>
      <c r="DV99" s="35"/>
      <c r="DW99" s="86"/>
      <c r="DX99" s="35"/>
      <c r="DY99" s="45" t="str">
        <f>IF(DM98="", "", IF(DM98&gt;12, DK98+5, IF(DM98&lt;10, DK98-5, DK98)))</f>
        <v/>
      </c>
      <c r="DZ99" s="32">
        <v>2</v>
      </c>
      <c r="EA99" s="32"/>
      <c r="EB99" s="36"/>
      <c r="EC99" s="45" t="str">
        <f>IF(DQ97="", "", IF(DQ97&gt;12, DO97+2.5, IF(DQ97&lt;10, DO97-2.5, DO97)))</f>
        <v/>
      </c>
      <c r="ED99" s="39">
        <v>3</v>
      </c>
      <c r="EE99" s="39"/>
      <c r="EF99" s="36"/>
      <c r="EG99" s="45" t="str">
        <f>IF(DU97="", "", IF(DU97&gt;12, DS97+5, IF(DU97&lt;10, DS97-5, DS97)))</f>
        <v/>
      </c>
      <c r="EH99" s="33">
        <v>3</v>
      </c>
      <c r="EI99" s="33"/>
      <c r="EJ99" s="35"/>
      <c r="EK99" s="86"/>
      <c r="EL99" s="35"/>
      <c r="EM99" s="45" t="str">
        <f>IF(EA98="", "", IF(EA98&gt;12, DY98+5, IF(EA98&lt;10, DY98-5, DY98)))</f>
        <v/>
      </c>
      <c r="EN99" s="32">
        <v>2</v>
      </c>
      <c r="EO99" s="32"/>
      <c r="EP99" s="36"/>
      <c r="EQ99" s="45" t="str">
        <f>IF(EE97="", "", IF(EE97&gt;12, EC97+2.5, IF(EE97&lt;10, EC97-2.5, EC97)))</f>
        <v/>
      </c>
      <c r="ER99" s="39">
        <v>3</v>
      </c>
      <c r="ES99" s="39"/>
      <c r="ET99" s="36"/>
      <c r="EU99" s="45" t="str">
        <f>IF(EI97="", "", IF(EI97&gt;12, EG97+5, IF(EI97&lt;10, EG97-5, EG97)))</f>
        <v/>
      </c>
      <c r="EV99" s="33">
        <v>3</v>
      </c>
      <c r="EW99" s="33"/>
      <c r="EX99" s="35"/>
      <c r="EY99" s="86"/>
      <c r="EZ99" s="35"/>
      <c r="FA99" s="45" t="str">
        <f>IF(EO98="", "", IF(EO98&gt;12, EM98+5, IF(EO98&lt;10, EM98-5, EM98)))</f>
        <v/>
      </c>
      <c r="FB99" s="32">
        <v>2</v>
      </c>
      <c r="FC99" s="32"/>
      <c r="FD99" s="36"/>
      <c r="FE99" s="45" t="str">
        <f>IF(ES97="", "", IF(ES97&gt;12, EQ97+2.5, IF(ES97&lt;10, EQ97-2.5, EQ97)))</f>
        <v/>
      </c>
      <c r="FF99" s="39">
        <v>3</v>
      </c>
      <c r="FG99" s="39"/>
      <c r="FH99" s="36"/>
      <c r="FI99" s="45" t="str">
        <f>IF(EW97="", "", IF(EW97&gt;12, EU97+5, IF(EW97&lt;10, EU97-5, EU97)))</f>
        <v/>
      </c>
      <c r="FJ99" s="33">
        <v>3</v>
      </c>
      <c r="FK99" s="33"/>
      <c r="FL99" s="35"/>
      <c r="FM99" s="86"/>
    </row>
    <row r="100" spans="1:169" ht="15.75" customHeight="1">
      <c r="A100" s="86"/>
      <c r="C100" s="47"/>
      <c r="D100" s="32">
        <v>3</v>
      </c>
      <c r="E100" s="32"/>
      <c r="F100" s="41"/>
      <c r="G100" s="68" t="s">
        <v>49</v>
      </c>
      <c r="H100" s="69"/>
      <c r="I100" s="69"/>
      <c r="J100" s="36"/>
      <c r="K100" s="28"/>
      <c r="L100" s="28"/>
      <c r="M100" s="28"/>
      <c r="O100" s="86"/>
      <c r="Q100" s="45" t="str">
        <f>IF(E98="", "", IF(E98&gt;12, C98+5, IF(E98&lt;10, C98-5, C98)))</f>
        <v/>
      </c>
      <c r="R100" s="32">
        <v>3</v>
      </c>
      <c r="S100" s="32"/>
      <c r="T100" s="41"/>
      <c r="U100" s="68" t="s">
        <v>49</v>
      </c>
      <c r="V100" s="69"/>
      <c r="W100" s="69"/>
      <c r="X100" s="36"/>
      <c r="Y100" s="28"/>
      <c r="Z100" s="28"/>
      <c r="AA100" s="28"/>
      <c r="AC100" s="86"/>
      <c r="AD100" s="35"/>
      <c r="AE100" s="45" t="str">
        <f>IF(S98="", "", IF(S98&gt;12, Q98+5, IF(S98&lt;10, Q98-5, Q98)))</f>
        <v/>
      </c>
      <c r="AF100" s="32">
        <v>3</v>
      </c>
      <c r="AG100" s="32"/>
      <c r="AH100" s="41"/>
      <c r="AI100" s="68" t="s">
        <v>49</v>
      </c>
      <c r="AJ100" s="69"/>
      <c r="AK100" s="69"/>
      <c r="AL100" s="36"/>
      <c r="AM100" s="28"/>
      <c r="AN100" s="28"/>
      <c r="AO100" s="28"/>
      <c r="AP100" s="35"/>
      <c r="AQ100" s="86"/>
      <c r="AR100" s="35"/>
      <c r="AS100" s="45" t="str">
        <f>IF(AG98="", "", IF(AG98&gt;12, AE98+5, IF(AG98&lt;10, AE98-5, AE98)))</f>
        <v/>
      </c>
      <c r="AT100" s="32">
        <v>3</v>
      </c>
      <c r="AU100" s="32"/>
      <c r="AV100" s="41"/>
      <c r="AW100" s="68" t="s">
        <v>49</v>
      </c>
      <c r="AX100" s="69"/>
      <c r="AY100" s="69"/>
      <c r="AZ100" s="36"/>
      <c r="BA100" s="28"/>
      <c r="BB100" s="28"/>
      <c r="BC100" s="28"/>
      <c r="BD100" s="35"/>
      <c r="BE100" s="86"/>
      <c r="BF100" s="35"/>
      <c r="BG100" s="45" t="str">
        <f>IF(AU98="", "", IF(AU98&gt;12, AS98+5, IF(AU98&lt;10, AS98-5, AS98)))</f>
        <v/>
      </c>
      <c r="BH100" s="32">
        <v>3</v>
      </c>
      <c r="BI100" s="32"/>
      <c r="BJ100" s="41"/>
      <c r="BK100" s="68" t="s">
        <v>49</v>
      </c>
      <c r="BL100" s="69"/>
      <c r="BM100" s="69"/>
      <c r="BN100" s="36"/>
      <c r="BO100" s="28"/>
      <c r="BP100" s="28"/>
      <c r="BQ100" s="28"/>
      <c r="BR100" s="35"/>
      <c r="BS100" s="86"/>
      <c r="BT100" s="35"/>
      <c r="BU100" s="45" t="str">
        <f>IF(BI98="", "", IF(BI98&gt;12, BG98+5, IF(BI98&lt;10, BG98-5, BG98)))</f>
        <v/>
      </c>
      <c r="BV100" s="32">
        <v>3</v>
      </c>
      <c r="BW100" s="32"/>
      <c r="BX100" s="41"/>
      <c r="BY100" s="68" t="s">
        <v>49</v>
      </c>
      <c r="BZ100" s="69"/>
      <c r="CA100" s="69"/>
      <c r="CB100" s="36"/>
      <c r="CC100" s="28"/>
      <c r="CD100" s="28"/>
      <c r="CE100" s="28"/>
      <c r="CF100" s="35"/>
      <c r="CG100" s="86"/>
      <c r="CH100" s="35"/>
      <c r="CI100" s="45" t="str">
        <f>IF(BW98="", "", IF(BW98&gt;12, BU98+5, IF(BW98&lt;10, BU98-5, BU98)))</f>
        <v/>
      </c>
      <c r="CJ100" s="32">
        <v>3</v>
      </c>
      <c r="CK100" s="32"/>
      <c r="CL100" s="41"/>
      <c r="CM100" s="68" t="s">
        <v>49</v>
      </c>
      <c r="CN100" s="69"/>
      <c r="CO100" s="69"/>
      <c r="CP100" s="36"/>
      <c r="CQ100" s="28"/>
      <c r="CR100" s="28"/>
      <c r="CS100" s="28"/>
      <c r="CT100" s="35"/>
      <c r="CU100" s="86"/>
      <c r="CV100" s="35"/>
      <c r="CW100" s="45" t="str">
        <f>IF(CK98="", "", IF(CK98&gt;12, CI98+5, IF(CK98&lt;10, CI98-5, CI98)))</f>
        <v/>
      </c>
      <c r="CX100" s="32">
        <v>3</v>
      </c>
      <c r="CY100" s="32"/>
      <c r="CZ100" s="41"/>
      <c r="DA100" s="68" t="s">
        <v>49</v>
      </c>
      <c r="DB100" s="69"/>
      <c r="DC100" s="69"/>
      <c r="DD100" s="36"/>
      <c r="DE100" s="28"/>
      <c r="DF100" s="28"/>
      <c r="DG100" s="28"/>
      <c r="DH100" s="35"/>
      <c r="DI100" s="86"/>
      <c r="DJ100" s="35"/>
      <c r="DK100" s="45" t="str">
        <f>IF(CY98="", "", IF(CY98&gt;12, CW98+5, IF(CY98&lt;10, CW98-5, CW98)))</f>
        <v/>
      </c>
      <c r="DL100" s="32">
        <v>3</v>
      </c>
      <c r="DM100" s="32"/>
      <c r="DN100" s="41"/>
      <c r="DO100" s="68" t="s">
        <v>49</v>
      </c>
      <c r="DP100" s="69"/>
      <c r="DQ100" s="69"/>
      <c r="DR100" s="36"/>
      <c r="DS100" s="28"/>
      <c r="DT100" s="28"/>
      <c r="DU100" s="28"/>
      <c r="DV100" s="35"/>
      <c r="DW100" s="86"/>
      <c r="DX100" s="35"/>
      <c r="DY100" s="45" t="str">
        <f>IF(DM98="", "", IF(DM98&gt;12, DK98+5, IF(DM98&lt;10, DK98-5, DK98)))</f>
        <v/>
      </c>
      <c r="DZ100" s="32">
        <v>3</v>
      </c>
      <c r="EA100" s="32"/>
      <c r="EB100" s="41"/>
      <c r="EC100" s="68" t="s">
        <v>49</v>
      </c>
      <c r="ED100" s="69"/>
      <c r="EE100" s="69"/>
      <c r="EF100" s="36"/>
      <c r="EG100" s="28"/>
      <c r="EH100" s="28"/>
      <c r="EI100" s="28"/>
      <c r="EJ100" s="35"/>
      <c r="EK100" s="86"/>
      <c r="EL100" s="35"/>
      <c r="EM100" s="45" t="str">
        <f>IF(EA98="", "", IF(EA98&gt;12, DY98+5, IF(EA98&lt;10, DY98-5, DY98)))</f>
        <v/>
      </c>
      <c r="EN100" s="32">
        <v>3</v>
      </c>
      <c r="EO100" s="32"/>
      <c r="EP100" s="41"/>
      <c r="EQ100" s="68" t="s">
        <v>49</v>
      </c>
      <c r="ER100" s="69"/>
      <c r="ES100" s="69"/>
      <c r="ET100" s="36"/>
      <c r="EU100" s="28"/>
      <c r="EV100" s="28"/>
      <c r="EW100" s="28"/>
      <c r="EX100" s="35"/>
      <c r="EY100" s="86"/>
      <c r="EZ100" s="35"/>
      <c r="FA100" s="45" t="str">
        <f>IF(EO98="", "", IF(EO98&gt;12, EM98+5, IF(EO98&lt;10, EM98-5, EM98)))</f>
        <v/>
      </c>
      <c r="FB100" s="32">
        <v>3</v>
      </c>
      <c r="FC100" s="32"/>
      <c r="FD100" s="41"/>
      <c r="FE100" s="68" t="s">
        <v>49</v>
      </c>
      <c r="FF100" s="69"/>
      <c r="FG100" s="69"/>
      <c r="FH100" s="36"/>
      <c r="FI100" s="28"/>
      <c r="FJ100" s="28"/>
      <c r="FK100" s="28"/>
      <c r="FL100" s="35"/>
      <c r="FM100" s="86"/>
    </row>
    <row r="101" spans="1:169" ht="15.75" customHeight="1">
      <c r="A101" s="86"/>
      <c r="B101" s="30"/>
      <c r="C101" s="28"/>
      <c r="D101" s="28"/>
      <c r="E101" s="28"/>
      <c r="F101" s="40"/>
      <c r="G101" s="39" t="s">
        <v>4</v>
      </c>
      <c r="H101" s="39" t="s">
        <v>48</v>
      </c>
      <c r="I101" s="39" t="s">
        <v>39</v>
      </c>
      <c r="J101" s="40"/>
      <c r="K101" s="65" t="s">
        <v>61</v>
      </c>
      <c r="L101" s="59"/>
      <c r="M101" s="59"/>
      <c r="O101" s="86"/>
      <c r="Q101" s="28"/>
      <c r="R101" s="28"/>
      <c r="S101" s="28"/>
      <c r="T101" s="40"/>
      <c r="U101" s="39" t="s">
        <v>4</v>
      </c>
      <c r="V101" s="39" t="s">
        <v>48</v>
      </c>
      <c r="W101" s="39" t="s">
        <v>39</v>
      </c>
      <c r="X101" s="40"/>
      <c r="Y101" s="65" t="s">
        <v>61</v>
      </c>
      <c r="Z101" s="59"/>
      <c r="AA101" s="59"/>
      <c r="AC101" s="86"/>
      <c r="AD101" s="35"/>
      <c r="AE101" s="28"/>
      <c r="AF101" s="28"/>
      <c r="AG101" s="28"/>
      <c r="AH101" s="40"/>
      <c r="AI101" s="39" t="s">
        <v>4</v>
      </c>
      <c r="AJ101" s="39" t="s">
        <v>48</v>
      </c>
      <c r="AK101" s="39" t="s">
        <v>39</v>
      </c>
      <c r="AL101" s="40"/>
      <c r="AM101" s="65" t="s">
        <v>61</v>
      </c>
      <c r="AN101" s="59"/>
      <c r="AO101" s="59"/>
      <c r="AP101" s="35"/>
      <c r="AQ101" s="86"/>
      <c r="AR101" s="35"/>
      <c r="AS101" s="28"/>
      <c r="AT101" s="28"/>
      <c r="AU101" s="28"/>
      <c r="AV101" s="40"/>
      <c r="AW101" s="39" t="s">
        <v>4</v>
      </c>
      <c r="AX101" s="39" t="s">
        <v>48</v>
      </c>
      <c r="AY101" s="39" t="s">
        <v>39</v>
      </c>
      <c r="AZ101" s="40"/>
      <c r="BA101" s="65" t="s">
        <v>61</v>
      </c>
      <c r="BB101" s="59"/>
      <c r="BC101" s="59"/>
      <c r="BD101" s="35"/>
      <c r="BE101" s="86"/>
      <c r="BF101" s="35"/>
      <c r="BG101" s="28"/>
      <c r="BH101" s="28"/>
      <c r="BI101" s="28"/>
      <c r="BJ101" s="40"/>
      <c r="BK101" s="39" t="s">
        <v>4</v>
      </c>
      <c r="BL101" s="39" t="s">
        <v>48</v>
      </c>
      <c r="BM101" s="39" t="s">
        <v>39</v>
      </c>
      <c r="BN101" s="40"/>
      <c r="BO101" s="65" t="s">
        <v>61</v>
      </c>
      <c r="BP101" s="59"/>
      <c r="BQ101" s="59"/>
      <c r="BR101" s="35"/>
      <c r="BS101" s="86"/>
      <c r="BT101" s="35"/>
      <c r="BU101" s="28"/>
      <c r="BV101" s="28"/>
      <c r="BW101" s="28"/>
      <c r="BX101" s="40"/>
      <c r="BY101" s="39" t="s">
        <v>4</v>
      </c>
      <c r="BZ101" s="39" t="s">
        <v>48</v>
      </c>
      <c r="CA101" s="39" t="s">
        <v>39</v>
      </c>
      <c r="CB101" s="40"/>
      <c r="CC101" s="65" t="s">
        <v>61</v>
      </c>
      <c r="CD101" s="59"/>
      <c r="CE101" s="59"/>
      <c r="CF101" s="35"/>
      <c r="CG101" s="86"/>
      <c r="CH101" s="35"/>
      <c r="CI101" s="28"/>
      <c r="CJ101" s="28"/>
      <c r="CK101" s="28"/>
      <c r="CL101" s="40"/>
      <c r="CM101" s="39" t="s">
        <v>4</v>
      </c>
      <c r="CN101" s="39" t="s">
        <v>48</v>
      </c>
      <c r="CO101" s="39" t="s">
        <v>39</v>
      </c>
      <c r="CP101" s="40"/>
      <c r="CQ101" s="65" t="s">
        <v>61</v>
      </c>
      <c r="CR101" s="59"/>
      <c r="CS101" s="59"/>
      <c r="CT101" s="35"/>
      <c r="CU101" s="86"/>
      <c r="CV101" s="35"/>
      <c r="CW101" s="28"/>
      <c r="CX101" s="28"/>
      <c r="CY101" s="28"/>
      <c r="CZ101" s="40"/>
      <c r="DA101" s="39" t="s">
        <v>4</v>
      </c>
      <c r="DB101" s="39" t="s">
        <v>48</v>
      </c>
      <c r="DC101" s="39" t="s">
        <v>39</v>
      </c>
      <c r="DD101" s="40"/>
      <c r="DE101" s="65" t="s">
        <v>61</v>
      </c>
      <c r="DF101" s="59"/>
      <c r="DG101" s="59"/>
      <c r="DH101" s="35"/>
      <c r="DI101" s="86"/>
      <c r="DJ101" s="35"/>
      <c r="DK101" s="28"/>
      <c r="DL101" s="28"/>
      <c r="DM101" s="28"/>
      <c r="DN101" s="40"/>
      <c r="DO101" s="39" t="s">
        <v>4</v>
      </c>
      <c r="DP101" s="39" t="s">
        <v>48</v>
      </c>
      <c r="DQ101" s="39" t="s">
        <v>39</v>
      </c>
      <c r="DR101" s="40"/>
      <c r="DS101" s="65" t="s">
        <v>61</v>
      </c>
      <c r="DT101" s="59"/>
      <c r="DU101" s="59"/>
      <c r="DV101" s="35"/>
      <c r="DW101" s="86"/>
      <c r="DX101" s="35"/>
      <c r="DY101" s="28"/>
      <c r="DZ101" s="28"/>
      <c r="EA101" s="28"/>
      <c r="EB101" s="40"/>
      <c r="EC101" s="39" t="s">
        <v>4</v>
      </c>
      <c r="ED101" s="39" t="s">
        <v>48</v>
      </c>
      <c r="EE101" s="39" t="s">
        <v>39</v>
      </c>
      <c r="EF101" s="40"/>
      <c r="EG101" s="65" t="s">
        <v>61</v>
      </c>
      <c r="EH101" s="59"/>
      <c r="EI101" s="59"/>
      <c r="EJ101" s="35"/>
      <c r="EK101" s="86"/>
      <c r="EL101" s="35"/>
      <c r="EM101" s="28"/>
      <c r="EN101" s="28"/>
      <c r="EO101" s="28"/>
      <c r="EP101" s="40"/>
      <c r="EQ101" s="39" t="s">
        <v>4</v>
      </c>
      <c r="ER101" s="39" t="s">
        <v>48</v>
      </c>
      <c r="ES101" s="39" t="s">
        <v>39</v>
      </c>
      <c r="ET101" s="40"/>
      <c r="EU101" s="65" t="s">
        <v>61</v>
      </c>
      <c r="EV101" s="59"/>
      <c r="EW101" s="59"/>
      <c r="EX101" s="35"/>
      <c r="EY101" s="86"/>
      <c r="EZ101" s="35"/>
      <c r="FA101" s="28"/>
      <c r="FB101" s="28"/>
      <c r="FC101" s="28"/>
      <c r="FD101" s="40"/>
      <c r="FE101" s="39" t="s">
        <v>4</v>
      </c>
      <c r="FF101" s="39" t="s">
        <v>48</v>
      </c>
      <c r="FG101" s="39" t="s">
        <v>39</v>
      </c>
      <c r="FH101" s="40"/>
      <c r="FI101" s="65" t="s">
        <v>61</v>
      </c>
      <c r="FJ101" s="59"/>
      <c r="FK101" s="59"/>
      <c r="FL101" s="35"/>
      <c r="FM101" s="86"/>
    </row>
    <row r="102" spans="1:169" ht="15.75" customHeight="1">
      <c r="A102" s="86"/>
      <c r="C102" s="65" t="s">
        <v>16</v>
      </c>
      <c r="D102" s="59"/>
      <c r="E102" s="59"/>
      <c r="F102" s="30" t="str">
        <f>"берем около " &amp; INT(0.6*F36)&amp; "кг"</f>
        <v>берем около 0кг</v>
      </c>
      <c r="G102" s="47"/>
      <c r="H102" s="39">
        <v>1</v>
      </c>
      <c r="I102" s="39"/>
      <c r="J102" s="41"/>
      <c r="K102" s="31" t="s">
        <v>4</v>
      </c>
      <c r="L102" s="32" t="s">
        <v>38</v>
      </c>
      <c r="M102" s="32" t="s">
        <v>39</v>
      </c>
      <c r="O102" s="86"/>
      <c r="Q102" s="65" t="s">
        <v>16</v>
      </c>
      <c r="R102" s="59"/>
      <c r="S102" s="59"/>
      <c r="T102" s="30"/>
      <c r="U102" s="47" t="str">
        <f>IF(I102="", "", IF(I102&gt;12, G102+$T$17, IF(I102&lt;10, G102-$T$17, G102)))</f>
        <v/>
      </c>
      <c r="V102" s="39">
        <v>1</v>
      </c>
      <c r="W102" s="39"/>
      <c r="X102" s="41"/>
      <c r="Y102" s="31" t="s">
        <v>4</v>
      </c>
      <c r="Z102" s="32" t="s">
        <v>38</v>
      </c>
      <c r="AA102" s="32" t="s">
        <v>39</v>
      </c>
      <c r="AC102" s="86"/>
      <c r="AD102" s="35"/>
      <c r="AE102" s="65" t="s">
        <v>16</v>
      </c>
      <c r="AF102" s="59"/>
      <c r="AG102" s="59"/>
      <c r="AH102" s="30"/>
      <c r="AI102" s="47" t="str">
        <f>IF(W102="", "", IF(W102&gt;12, U102+$T$17, IF(W102&lt;10, U102-$T$17, U102)))</f>
        <v/>
      </c>
      <c r="AJ102" s="39">
        <v>1</v>
      </c>
      <c r="AK102" s="39"/>
      <c r="AL102" s="41"/>
      <c r="AM102" s="31" t="s">
        <v>4</v>
      </c>
      <c r="AN102" s="32" t="s">
        <v>38</v>
      </c>
      <c r="AO102" s="32" t="s">
        <v>39</v>
      </c>
      <c r="AP102" s="35"/>
      <c r="AQ102" s="86"/>
      <c r="AR102" s="35"/>
      <c r="AS102" s="65" t="s">
        <v>16</v>
      </c>
      <c r="AT102" s="59"/>
      <c r="AU102" s="59"/>
      <c r="AV102" s="30"/>
      <c r="AW102" s="47" t="str">
        <f>IF(AK102="", "", IF(AK102&gt;12, AI102+$T$17, IF(AK102&lt;10, AI102-$T$17, AI102)))</f>
        <v/>
      </c>
      <c r="AX102" s="39">
        <v>1</v>
      </c>
      <c r="AY102" s="39"/>
      <c r="AZ102" s="41"/>
      <c r="BA102" s="31" t="s">
        <v>4</v>
      </c>
      <c r="BB102" s="32" t="s">
        <v>38</v>
      </c>
      <c r="BC102" s="32" t="s">
        <v>39</v>
      </c>
      <c r="BD102" s="35"/>
      <c r="BE102" s="86"/>
      <c r="BF102" s="35"/>
      <c r="BG102" s="65" t="s">
        <v>16</v>
      </c>
      <c r="BH102" s="59"/>
      <c r="BI102" s="59"/>
      <c r="BJ102" s="30"/>
      <c r="BK102" s="47" t="str">
        <f>IF(AY102="", "", IF(AY102&gt;12, AW102+$T$17, IF(AY102&lt;10, AW102-$T$17, AW102)))</f>
        <v/>
      </c>
      <c r="BL102" s="39">
        <v>1</v>
      </c>
      <c r="BM102" s="39"/>
      <c r="BN102" s="41"/>
      <c r="BO102" s="31" t="s">
        <v>4</v>
      </c>
      <c r="BP102" s="32" t="s">
        <v>38</v>
      </c>
      <c r="BQ102" s="32" t="s">
        <v>39</v>
      </c>
      <c r="BR102" s="35"/>
      <c r="BS102" s="86"/>
      <c r="BT102" s="35"/>
      <c r="BU102" s="65" t="s">
        <v>16</v>
      </c>
      <c r="BV102" s="59"/>
      <c r="BW102" s="59"/>
      <c r="BX102" s="30"/>
      <c r="BY102" s="47" t="str">
        <f>IF(BM102="", "", IF(BM102&gt;12, BK102+$T$17, IF(BM102&lt;10, BK102-$T$17, BK102)))</f>
        <v/>
      </c>
      <c r="BZ102" s="39">
        <v>1</v>
      </c>
      <c r="CA102" s="39"/>
      <c r="CB102" s="41"/>
      <c r="CC102" s="31" t="s">
        <v>4</v>
      </c>
      <c r="CD102" s="32" t="s">
        <v>38</v>
      </c>
      <c r="CE102" s="32" t="s">
        <v>39</v>
      </c>
      <c r="CF102" s="35"/>
      <c r="CG102" s="86"/>
      <c r="CH102" s="35"/>
      <c r="CI102" s="65" t="s">
        <v>16</v>
      </c>
      <c r="CJ102" s="59"/>
      <c r="CK102" s="59"/>
      <c r="CL102" s="30"/>
      <c r="CM102" s="47" t="str">
        <f>IF(CA102="", "", IF(CA102&gt;12, BY102+$T$17, IF(CA102&lt;10, BY102-$T$17, BY102)))</f>
        <v/>
      </c>
      <c r="CN102" s="39">
        <v>1</v>
      </c>
      <c r="CO102" s="39"/>
      <c r="CP102" s="41"/>
      <c r="CQ102" s="31" t="s">
        <v>4</v>
      </c>
      <c r="CR102" s="32" t="s">
        <v>38</v>
      </c>
      <c r="CS102" s="32" t="s">
        <v>39</v>
      </c>
      <c r="CT102" s="35"/>
      <c r="CU102" s="86"/>
      <c r="CV102" s="35"/>
      <c r="CW102" s="65" t="s">
        <v>16</v>
      </c>
      <c r="CX102" s="59"/>
      <c r="CY102" s="59"/>
      <c r="CZ102" s="30"/>
      <c r="DA102" s="47" t="str">
        <f>IF(CO102="", "", IF(CO102&gt;12, CM102+$T$17, IF(CO102&lt;10, CM102-$T$17, CM102)))</f>
        <v/>
      </c>
      <c r="DB102" s="39">
        <v>1</v>
      </c>
      <c r="DC102" s="39"/>
      <c r="DD102" s="41"/>
      <c r="DE102" s="31" t="s">
        <v>4</v>
      </c>
      <c r="DF102" s="32" t="s">
        <v>38</v>
      </c>
      <c r="DG102" s="32" t="s">
        <v>39</v>
      </c>
      <c r="DH102" s="35"/>
      <c r="DI102" s="86"/>
      <c r="DJ102" s="35"/>
      <c r="DK102" s="65" t="s">
        <v>16</v>
      </c>
      <c r="DL102" s="59"/>
      <c r="DM102" s="59"/>
      <c r="DN102" s="30"/>
      <c r="DO102" s="47" t="str">
        <f>IF(DC102="", "", IF(DC102&gt;12, DA102+$T$17, IF(DC102&lt;10, DA102-$T$17, DA102)))</f>
        <v/>
      </c>
      <c r="DP102" s="39">
        <v>1</v>
      </c>
      <c r="DQ102" s="39"/>
      <c r="DR102" s="41"/>
      <c r="DS102" s="31" t="s">
        <v>4</v>
      </c>
      <c r="DT102" s="32" t="s">
        <v>38</v>
      </c>
      <c r="DU102" s="32" t="s">
        <v>39</v>
      </c>
      <c r="DV102" s="35"/>
      <c r="DW102" s="86"/>
      <c r="DX102" s="35"/>
      <c r="DY102" s="65" t="s">
        <v>16</v>
      </c>
      <c r="DZ102" s="59"/>
      <c r="EA102" s="59"/>
      <c r="EB102" s="30"/>
      <c r="EC102" s="47" t="str">
        <f>IF(DQ102="", "", IF(DQ102&gt;12, DO102+$T$17, IF(DQ102&lt;10, DO102-$T$17, DO102)))</f>
        <v/>
      </c>
      <c r="ED102" s="39">
        <v>1</v>
      </c>
      <c r="EE102" s="39"/>
      <c r="EF102" s="41"/>
      <c r="EG102" s="31" t="s">
        <v>4</v>
      </c>
      <c r="EH102" s="32" t="s">
        <v>38</v>
      </c>
      <c r="EI102" s="32" t="s">
        <v>39</v>
      </c>
      <c r="EJ102" s="35"/>
      <c r="EK102" s="86"/>
      <c r="EL102" s="35"/>
      <c r="EM102" s="65" t="s">
        <v>16</v>
      </c>
      <c r="EN102" s="59"/>
      <c r="EO102" s="59"/>
      <c r="EP102" s="30"/>
      <c r="EQ102" s="47" t="str">
        <f>IF(EE102="", "", IF(EE102&gt;12, EC102+$T$17, IF(EE102&lt;10, EC102-$T$17, EC102)))</f>
        <v/>
      </c>
      <c r="ER102" s="39">
        <v>1</v>
      </c>
      <c r="ES102" s="39"/>
      <c r="ET102" s="41"/>
      <c r="EU102" s="31" t="s">
        <v>4</v>
      </c>
      <c r="EV102" s="32" t="s">
        <v>38</v>
      </c>
      <c r="EW102" s="32" t="s">
        <v>39</v>
      </c>
      <c r="EX102" s="35"/>
      <c r="EY102" s="86"/>
      <c r="EZ102" s="35"/>
      <c r="FA102" s="65" t="s">
        <v>16</v>
      </c>
      <c r="FB102" s="59"/>
      <c r="FC102" s="59"/>
      <c r="FD102" s="30"/>
      <c r="FE102" s="47" t="str">
        <f>IF(ES102="", "", IF(ES102&gt;12, EQ102+$T$17, IF(ES102&lt;10, EQ102-$T$17, EQ102)))</f>
        <v/>
      </c>
      <c r="FF102" s="39">
        <v>1</v>
      </c>
      <c r="FG102" s="39"/>
      <c r="FH102" s="41"/>
      <c r="FI102" s="31" t="s">
        <v>4</v>
      </c>
      <c r="FJ102" s="32" t="s">
        <v>38</v>
      </c>
      <c r="FK102" s="32" t="s">
        <v>39</v>
      </c>
      <c r="FL102" s="35"/>
      <c r="FM102" s="86"/>
    </row>
    <row r="103" spans="1:169" ht="15.75" customHeight="1">
      <c r="A103" s="86"/>
      <c r="B103" s="30"/>
      <c r="C103" s="53" t="s">
        <v>4</v>
      </c>
      <c r="D103" s="53" t="s">
        <v>38</v>
      </c>
      <c r="E103" s="53" t="s">
        <v>39</v>
      </c>
      <c r="F103" s="41"/>
      <c r="G103" s="47"/>
      <c r="H103" s="39">
        <v>2</v>
      </c>
      <c r="I103" s="39"/>
      <c r="J103" s="30" t="str">
        <f>"берем около " &amp; INT(0.6*F50)&amp; "кг"</f>
        <v>берем около 0кг</v>
      </c>
      <c r="K103" s="31"/>
      <c r="L103" s="32">
        <v>1</v>
      </c>
      <c r="M103" s="32"/>
      <c r="O103" s="86"/>
      <c r="Q103" s="53" t="s">
        <v>4</v>
      </c>
      <c r="R103" s="53" t="s">
        <v>38</v>
      </c>
      <c r="S103" s="53" t="s">
        <v>39</v>
      </c>
      <c r="T103" s="41"/>
      <c r="U103" s="47" t="str">
        <f>IF(I102="", "", IF(I102&gt;12, G102+$T$17, IF(I102&lt;10, G102-$T$17, G102)))</f>
        <v/>
      </c>
      <c r="V103" s="39">
        <v>2</v>
      </c>
      <c r="W103" s="39"/>
      <c r="X103" s="30"/>
      <c r="Y103" s="47" t="str">
        <f>IF(M103="", "", IF(M103&gt;12, K103+$T$17, IF(M103&lt;10, K103-$T$17, K103)))</f>
        <v/>
      </c>
      <c r="Z103" s="32">
        <v>1</v>
      </c>
      <c r="AA103" s="32"/>
      <c r="AC103" s="86"/>
      <c r="AD103" s="35"/>
      <c r="AE103" s="53" t="s">
        <v>4</v>
      </c>
      <c r="AF103" s="53" t="s">
        <v>38</v>
      </c>
      <c r="AG103" s="53" t="s">
        <v>39</v>
      </c>
      <c r="AH103" s="41"/>
      <c r="AI103" s="47" t="str">
        <f>IF(W102="", "", IF(W102&gt;12, U102+$T$17, IF(W102&lt;10, U102-$T$17, U102)))</f>
        <v/>
      </c>
      <c r="AJ103" s="39">
        <v>2</v>
      </c>
      <c r="AK103" s="39"/>
      <c r="AL103" s="30"/>
      <c r="AM103" s="47" t="str">
        <f>IF(AA103="", "", IF(AA103&gt;12, Y103+$T$17, IF(AA103&lt;10, Y103-$T$17, Y103)))</f>
        <v/>
      </c>
      <c r="AN103" s="32">
        <v>1</v>
      </c>
      <c r="AO103" s="32"/>
      <c r="AP103" s="35"/>
      <c r="AQ103" s="86"/>
      <c r="AR103" s="35"/>
      <c r="AS103" s="53" t="s">
        <v>4</v>
      </c>
      <c r="AT103" s="53" t="s">
        <v>38</v>
      </c>
      <c r="AU103" s="53" t="s">
        <v>39</v>
      </c>
      <c r="AV103" s="41"/>
      <c r="AW103" s="47" t="str">
        <f>IF(AK102="", "", IF(AK102&gt;12, AI102+$T$17, IF(AK102&lt;10, AI102-$T$17, AI102)))</f>
        <v/>
      </c>
      <c r="AX103" s="39">
        <v>2</v>
      </c>
      <c r="AY103" s="39"/>
      <c r="AZ103" s="30"/>
      <c r="BA103" s="47" t="str">
        <f>IF(AO103="", "", IF(AO103&gt;12, AM103+$T$17, IF(AO103&lt;10, AM103-$T$17, AM103)))</f>
        <v/>
      </c>
      <c r="BB103" s="32">
        <v>1</v>
      </c>
      <c r="BC103" s="32"/>
      <c r="BD103" s="35"/>
      <c r="BE103" s="86"/>
      <c r="BF103" s="35"/>
      <c r="BG103" s="53" t="s">
        <v>4</v>
      </c>
      <c r="BH103" s="53" t="s">
        <v>38</v>
      </c>
      <c r="BI103" s="53" t="s">
        <v>39</v>
      </c>
      <c r="BJ103" s="41"/>
      <c r="BK103" s="47" t="str">
        <f>IF(AY102="", "", IF(AY102&gt;12, AW102+$T$17, IF(AY102&lt;10, AW102-$T$17, AW102)))</f>
        <v/>
      </c>
      <c r="BL103" s="39">
        <v>2</v>
      </c>
      <c r="BM103" s="39"/>
      <c r="BN103" s="30"/>
      <c r="BO103" s="47" t="str">
        <f>IF(BC103="", "", IF(BC103&gt;12, BA103+$T$17, IF(BC103&lt;10, BA103-$T$17, BA103)))</f>
        <v/>
      </c>
      <c r="BP103" s="32">
        <v>1</v>
      </c>
      <c r="BQ103" s="32"/>
      <c r="BR103" s="35"/>
      <c r="BS103" s="86"/>
      <c r="BT103" s="35"/>
      <c r="BU103" s="53" t="s">
        <v>4</v>
      </c>
      <c r="BV103" s="53" t="s">
        <v>38</v>
      </c>
      <c r="BW103" s="53" t="s">
        <v>39</v>
      </c>
      <c r="BX103" s="41"/>
      <c r="BY103" s="47" t="str">
        <f>IF(BM102="", "", IF(BM102&gt;12, BK102+$T$17, IF(BM102&lt;10, BK102-$T$17, BK102)))</f>
        <v/>
      </c>
      <c r="BZ103" s="39">
        <v>2</v>
      </c>
      <c r="CA103" s="39"/>
      <c r="CB103" s="30"/>
      <c r="CC103" s="47" t="str">
        <f>IF(BQ103="", "", IF(BQ103&gt;12, BO103+$T$17, IF(BQ103&lt;10, BO103-$T$17, BO103)))</f>
        <v/>
      </c>
      <c r="CD103" s="32">
        <v>1</v>
      </c>
      <c r="CE103" s="32"/>
      <c r="CF103" s="35"/>
      <c r="CG103" s="86"/>
      <c r="CH103" s="35"/>
      <c r="CI103" s="53" t="s">
        <v>4</v>
      </c>
      <c r="CJ103" s="53" t="s">
        <v>38</v>
      </c>
      <c r="CK103" s="53" t="s">
        <v>39</v>
      </c>
      <c r="CL103" s="41"/>
      <c r="CM103" s="47" t="str">
        <f>IF(CA102="", "", IF(CA102&gt;12, BY102+$T$17, IF(CA102&lt;10, BY102-$T$17, BY102)))</f>
        <v/>
      </c>
      <c r="CN103" s="39">
        <v>2</v>
      </c>
      <c r="CO103" s="39"/>
      <c r="CP103" s="30"/>
      <c r="CQ103" s="47" t="str">
        <f>IF(CE103="", "", IF(CE103&gt;12, CC103+$T$17, IF(CE103&lt;10, CC103-$T$17, CC103)))</f>
        <v/>
      </c>
      <c r="CR103" s="32">
        <v>1</v>
      </c>
      <c r="CS103" s="32"/>
      <c r="CT103" s="35"/>
      <c r="CU103" s="86"/>
      <c r="CV103" s="35"/>
      <c r="CW103" s="53" t="s">
        <v>4</v>
      </c>
      <c r="CX103" s="53" t="s">
        <v>38</v>
      </c>
      <c r="CY103" s="53" t="s">
        <v>39</v>
      </c>
      <c r="CZ103" s="41"/>
      <c r="DA103" s="47" t="str">
        <f>IF(CO102="", "", IF(CO102&gt;12, CM102+$T$17, IF(CO102&lt;10, CM102-$T$17, CM102)))</f>
        <v/>
      </c>
      <c r="DB103" s="39">
        <v>2</v>
      </c>
      <c r="DC103" s="39"/>
      <c r="DD103" s="30"/>
      <c r="DE103" s="47" t="str">
        <f>IF(CS103="", "", IF(CS103&gt;12, CQ103+$T$17, IF(CS103&lt;10, CQ103-$T$17, CQ103)))</f>
        <v/>
      </c>
      <c r="DF103" s="32">
        <v>1</v>
      </c>
      <c r="DG103" s="32"/>
      <c r="DH103" s="35"/>
      <c r="DI103" s="86"/>
      <c r="DJ103" s="35"/>
      <c r="DK103" s="53" t="s">
        <v>4</v>
      </c>
      <c r="DL103" s="53" t="s">
        <v>38</v>
      </c>
      <c r="DM103" s="53" t="s">
        <v>39</v>
      </c>
      <c r="DN103" s="41"/>
      <c r="DO103" s="47" t="str">
        <f>IF(DC102="", "", IF(DC102&gt;12, DA102+$T$17, IF(DC102&lt;10, DA102-$T$17, DA102)))</f>
        <v/>
      </c>
      <c r="DP103" s="39">
        <v>2</v>
      </c>
      <c r="DQ103" s="39"/>
      <c r="DR103" s="30"/>
      <c r="DS103" s="47" t="str">
        <f>IF(DG103="", "", IF(DG103&gt;12, DE103+$T$17, IF(DG103&lt;10, DE103-$T$17, DE103)))</f>
        <v/>
      </c>
      <c r="DT103" s="32">
        <v>1</v>
      </c>
      <c r="DU103" s="32"/>
      <c r="DV103" s="35"/>
      <c r="DW103" s="86"/>
      <c r="DX103" s="35"/>
      <c r="DY103" s="53" t="s">
        <v>4</v>
      </c>
      <c r="DZ103" s="53" t="s">
        <v>38</v>
      </c>
      <c r="EA103" s="53" t="s">
        <v>39</v>
      </c>
      <c r="EB103" s="41"/>
      <c r="EC103" s="47" t="str">
        <f>IF(DQ102="", "", IF(DQ102&gt;12, DO102+$T$17, IF(DQ102&lt;10, DO102-$T$17, DO102)))</f>
        <v/>
      </c>
      <c r="ED103" s="39">
        <v>2</v>
      </c>
      <c r="EE103" s="39"/>
      <c r="EF103" s="30"/>
      <c r="EG103" s="47" t="str">
        <f>IF(DU103="", "", IF(DU103&gt;12, DS103+$T$17, IF(DU103&lt;10, DS103-$T$17, DS103)))</f>
        <v/>
      </c>
      <c r="EH103" s="32">
        <v>1</v>
      </c>
      <c r="EI103" s="32"/>
      <c r="EJ103" s="35"/>
      <c r="EK103" s="86"/>
      <c r="EL103" s="35"/>
      <c r="EM103" s="53" t="s">
        <v>4</v>
      </c>
      <c r="EN103" s="53" t="s">
        <v>38</v>
      </c>
      <c r="EO103" s="53" t="s">
        <v>39</v>
      </c>
      <c r="EP103" s="41"/>
      <c r="EQ103" s="47" t="str">
        <f>IF(EE102="", "", IF(EE102&gt;12, EC102+$T$17, IF(EE102&lt;10, EC102-$T$17, EC102)))</f>
        <v/>
      </c>
      <c r="ER103" s="39">
        <v>2</v>
      </c>
      <c r="ES103" s="39"/>
      <c r="ET103" s="30"/>
      <c r="EU103" s="47" t="str">
        <f>IF(EI103="", "", IF(EI103&gt;12, EG103+$T$17, IF(EI103&lt;10, EG103-$T$17, EG103)))</f>
        <v/>
      </c>
      <c r="EV103" s="32">
        <v>1</v>
      </c>
      <c r="EW103" s="32"/>
      <c r="EX103" s="35"/>
      <c r="EY103" s="86"/>
      <c r="EZ103" s="35"/>
      <c r="FA103" s="53" t="s">
        <v>4</v>
      </c>
      <c r="FB103" s="53" t="s">
        <v>38</v>
      </c>
      <c r="FC103" s="53" t="s">
        <v>39</v>
      </c>
      <c r="FD103" s="41"/>
      <c r="FE103" s="47" t="str">
        <f>IF(ES102="", "", IF(ES102&gt;12, EQ102+$T$17, IF(ES102&lt;10, EQ102-$T$17, EQ102)))</f>
        <v/>
      </c>
      <c r="FF103" s="39">
        <v>2</v>
      </c>
      <c r="FG103" s="39"/>
      <c r="FH103" s="30"/>
      <c r="FI103" s="47" t="str">
        <f>IF(EW103="", "", IF(EW103&gt;12, EU103+$T$17, IF(EW103&lt;10, EU103-$T$17, EU103)))</f>
        <v/>
      </c>
      <c r="FJ103" s="32">
        <v>1</v>
      </c>
      <c r="FK103" s="32"/>
      <c r="FL103" s="35"/>
      <c r="FM103" s="86"/>
    </row>
    <row r="104" spans="1:169" ht="15.75" customHeight="1">
      <c r="A104" s="86"/>
      <c r="B104" s="30" t="str">
        <f>"берем около " &amp; INT(0.6*F20)&amp; "кг"</f>
        <v>берем около 0кг</v>
      </c>
      <c r="C104" s="53"/>
      <c r="D104" s="53">
        <v>1</v>
      </c>
      <c r="E104" s="53"/>
      <c r="F104" s="41"/>
      <c r="G104" s="47"/>
      <c r="H104" s="39">
        <v>3</v>
      </c>
      <c r="I104" s="39"/>
      <c r="J104" s="41"/>
      <c r="K104" s="31"/>
      <c r="L104" s="32">
        <v>2</v>
      </c>
      <c r="M104" s="32"/>
      <c r="O104" s="86"/>
      <c r="Q104" s="45"/>
      <c r="R104" s="53">
        <v>1</v>
      </c>
      <c r="S104" s="53"/>
      <c r="T104" s="41"/>
      <c r="U104" s="47" t="str">
        <f>IF(I102="", "", IF(I102&gt;12, G102+$T$17, IF(I102&lt;10, G102-$T$17, G102)))</f>
        <v/>
      </c>
      <c r="V104" s="39">
        <v>3</v>
      </c>
      <c r="W104" s="39"/>
      <c r="X104" s="41"/>
      <c r="Y104" s="47" t="str">
        <f>IF(M103="", "", IF(M103&gt;12, K103+$T$17, IF(M103&lt;10, K103-$T$17, K103)))</f>
        <v/>
      </c>
      <c r="Z104" s="32">
        <v>2</v>
      </c>
      <c r="AA104" s="32"/>
      <c r="AC104" s="86"/>
      <c r="AD104" s="35"/>
      <c r="AE104" s="45" t="str">
        <f>IF(S104="", "", IF(S104&gt;12, Q104+5, IF(S104&lt;10, Q104-5, Q104)))</f>
        <v/>
      </c>
      <c r="AF104" s="53">
        <v>1</v>
      </c>
      <c r="AG104" s="53"/>
      <c r="AH104" s="41"/>
      <c r="AI104" s="47" t="str">
        <f>IF(W102="", "", IF(W102&gt;12, U102+$T$17, IF(W102&lt;10, U102-$T$17, U102)))</f>
        <v/>
      </c>
      <c r="AJ104" s="39">
        <v>3</v>
      </c>
      <c r="AK104" s="39"/>
      <c r="AL104" s="41"/>
      <c r="AM104" s="47" t="str">
        <f>IF(AA103="", "", IF(AA103&gt;12, Y103+$T$17, IF(AA103&lt;10, Y103-$T$17, Y103)))</f>
        <v/>
      </c>
      <c r="AN104" s="32">
        <v>2</v>
      </c>
      <c r="AO104" s="32"/>
      <c r="AP104" s="35"/>
      <c r="AQ104" s="86"/>
      <c r="AR104" s="35"/>
      <c r="AS104" s="45" t="str">
        <f>IF(AG104="", "", IF(AG104&gt;12, AE104+5, IF(AG104&lt;10, AE104-5, AE104)))</f>
        <v/>
      </c>
      <c r="AT104" s="53">
        <v>1</v>
      </c>
      <c r="AU104" s="53"/>
      <c r="AV104" s="41"/>
      <c r="AW104" s="47" t="str">
        <f>IF(AK102="", "", IF(AK102&gt;12, AI102+$T$17, IF(AK102&lt;10, AI102-$T$17, AI102)))</f>
        <v/>
      </c>
      <c r="AX104" s="39">
        <v>3</v>
      </c>
      <c r="AY104" s="39"/>
      <c r="AZ104" s="41"/>
      <c r="BA104" s="47" t="str">
        <f>IF(AO103="", "", IF(AO103&gt;12, AM103+$T$17, IF(AO103&lt;10, AM103-$T$17, AM103)))</f>
        <v/>
      </c>
      <c r="BB104" s="32">
        <v>2</v>
      </c>
      <c r="BC104" s="32"/>
      <c r="BD104" s="35"/>
      <c r="BE104" s="86"/>
      <c r="BF104" s="35"/>
      <c r="BG104" s="45" t="str">
        <f>IF(AU104="", "", IF(AU104&gt;12, AS104+5, IF(AU104&lt;10, AS104-5, AS104)))</f>
        <v/>
      </c>
      <c r="BH104" s="53">
        <v>1</v>
      </c>
      <c r="BI104" s="53"/>
      <c r="BJ104" s="41"/>
      <c r="BK104" s="47" t="str">
        <f>IF(AY102="", "", IF(AY102&gt;12, AW102+$T$17, IF(AY102&lt;10, AW102-$T$17, AW102)))</f>
        <v/>
      </c>
      <c r="BL104" s="39">
        <v>3</v>
      </c>
      <c r="BM104" s="39"/>
      <c r="BN104" s="41"/>
      <c r="BO104" s="47" t="str">
        <f>IF(BC103="", "", IF(BC103&gt;12, BA103+$T$17, IF(BC103&lt;10, BA103-$T$17, BA103)))</f>
        <v/>
      </c>
      <c r="BP104" s="32">
        <v>2</v>
      </c>
      <c r="BQ104" s="32"/>
      <c r="BR104" s="35"/>
      <c r="BS104" s="86"/>
      <c r="BT104" s="35"/>
      <c r="BU104" s="45" t="str">
        <f>IF(BI104="", "", IF(BI104&gt;12, BG104+5, IF(BI104&lt;10, BG104-5, BG104)))</f>
        <v/>
      </c>
      <c r="BV104" s="53">
        <v>1</v>
      </c>
      <c r="BW104" s="53"/>
      <c r="BX104" s="41"/>
      <c r="BY104" s="47" t="str">
        <f>IF(BM102="", "", IF(BM102&gt;12, BK102+$T$17, IF(BM102&lt;10, BK102-$T$17, BK102)))</f>
        <v/>
      </c>
      <c r="BZ104" s="39">
        <v>3</v>
      </c>
      <c r="CA104" s="39"/>
      <c r="CB104" s="41"/>
      <c r="CC104" s="47" t="str">
        <f>IF(BQ103="", "", IF(BQ103&gt;12, BO103+$T$17, IF(BQ103&lt;10, BO103-$T$17, BO103)))</f>
        <v/>
      </c>
      <c r="CD104" s="32">
        <v>2</v>
      </c>
      <c r="CE104" s="32"/>
      <c r="CF104" s="35"/>
      <c r="CG104" s="86"/>
      <c r="CH104" s="35"/>
      <c r="CI104" s="45" t="str">
        <f>IF(BW104="", "", IF(BW104&gt;12, BU104+5, IF(BW104&lt;10, BU104-5, BU104)))</f>
        <v/>
      </c>
      <c r="CJ104" s="53">
        <v>1</v>
      </c>
      <c r="CK104" s="53"/>
      <c r="CL104" s="41"/>
      <c r="CM104" s="47" t="str">
        <f>IF(CA102="", "", IF(CA102&gt;12, BY102+$T$17, IF(CA102&lt;10, BY102-$T$17, BY102)))</f>
        <v/>
      </c>
      <c r="CN104" s="39">
        <v>3</v>
      </c>
      <c r="CO104" s="39"/>
      <c r="CP104" s="41"/>
      <c r="CQ104" s="47" t="str">
        <f>IF(CE103="", "", IF(CE103&gt;12, CC103+$T$17, IF(CE103&lt;10, CC103-$T$17, CC103)))</f>
        <v/>
      </c>
      <c r="CR104" s="32">
        <v>2</v>
      </c>
      <c r="CS104" s="32"/>
      <c r="CT104" s="35"/>
      <c r="CU104" s="86"/>
      <c r="CV104" s="35"/>
      <c r="CW104" s="45" t="str">
        <f>IF(CK104="", "", IF(CK104&gt;12, CI104+5, IF(CK104&lt;10, CI104-5, CI104)))</f>
        <v/>
      </c>
      <c r="CX104" s="53">
        <v>1</v>
      </c>
      <c r="CY104" s="53"/>
      <c r="CZ104" s="41"/>
      <c r="DA104" s="47" t="str">
        <f>IF(CO102="", "", IF(CO102&gt;12, CM102+$T$17, IF(CO102&lt;10, CM102-$T$17, CM102)))</f>
        <v/>
      </c>
      <c r="DB104" s="39">
        <v>3</v>
      </c>
      <c r="DC104" s="39"/>
      <c r="DD104" s="41"/>
      <c r="DE104" s="47" t="str">
        <f>IF(CS103="", "", IF(CS103&gt;12, CQ103+$T$17, IF(CS103&lt;10, CQ103-$T$17, CQ103)))</f>
        <v/>
      </c>
      <c r="DF104" s="32">
        <v>2</v>
      </c>
      <c r="DG104" s="32"/>
      <c r="DH104" s="35"/>
      <c r="DI104" s="86"/>
      <c r="DJ104" s="35"/>
      <c r="DK104" s="45" t="str">
        <f>IF(CY104="", "", IF(CY104&gt;12, CW104+5, IF(CY104&lt;10, CW104-5, CW104)))</f>
        <v/>
      </c>
      <c r="DL104" s="53">
        <v>1</v>
      </c>
      <c r="DM104" s="53"/>
      <c r="DN104" s="41"/>
      <c r="DO104" s="47" t="str">
        <f>IF(DC102="", "", IF(DC102&gt;12, DA102+$T$17, IF(DC102&lt;10, DA102-$T$17, DA102)))</f>
        <v/>
      </c>
      <c r="DP104" s="39">
        <v>3</v>
      </c>
      <c r="DQ104" s="39"/>
      <c r="DR104" s="41"/>
      <c r="DS104" s="47" t="str">
        <f>IF(DG103="", "", IF(DG103&gt;12, DE103+$T$17, IF(DG103&lt;10, DE103-$T$17, DE103)))</f>
        <v/>
      </c>
      <c r="DT104" s="32">
        <v>2</v>
      </c>
      <c r="DU104" s="32"/>
      <c r="DV104" s="35"/>
      <c r="DW104" s="86"/>
      <c r="DX104" s="35"/>
      <c r="DY104" s="45" t="str">
        <f>IF(DM104="", "", IF(DM104&gt;12, DK104+5, IF(DM104&lt;10, DK104-5, DK104)))</f>
        <v/>
      </c>
      <c r="DZ104" s="53">
        <v>1</v>
      </c>
      <c r="EA104" s="53"/>
      <c r="EB104" s="41"/>
      <c r="EC104" s="47" t="str">
        <f>IF(DQ102="", "", IF(DQ102&gt;12, DO102+$T$17, IF(DQ102&lt;10, DO102-$T$17, DO102)))</f>
        <v/>
      </c>
      <c r="ED104" s="39">
        <v>3</v>
      </c>
      <c r="EE104" s="39"/>
      <c r="EF104" s="41"/>
      <c r="EG104" s="47" t="str">
        <f>IF(DU103="", "", IF(DU103&gt;12, DS103+$T$17, IF(DU103&lt;10, DS103-$T$17, DS103)))</f>
        <v/>
      </c>
      <c r="EH104" s="32">
        <v>2</v>
      </c>
      <c r="EI104" s="32"/>
      <c r="EJ104" s="35"/>
      <c r="EK104" s="86"/>
      <c r="EL104" s="35"/>
      <c r="EM104" s="45" t="str">
        <f>IF(EA104="", "", IF(EA104&gt;12, DY104+5, IF(EA104&lt;10, DY104-5, DY104)))</f>
        <v/>
      </c>
      <c r="EN104" s="53">
        <v>1</v>
      </c>
      <c r="EO104" s="53"/>
      <c r="EP104" s="41"/>
      <c r="EQ104" s="47" t="str">
        <f>IF(EE102="", "", IF(EE102&gt;12, EC102+$T$17, IF(EE102&lt;10, EC102-$T$17, EC102)))</f>
        <v/>
      </c>
      <c r="ER104" s="39">
        <v>3</v>
      </c>
      <c r="ES104" s="39"/>
      <c r="ET104" s="41"/>
      <c r="EU104" s="47" t="str">
        <f>IF(EI103="", "", IF(EI103&gt;12, EG103+$T$17, IF(EI103&lt;10, EG103-$T$17, EG103)))</f>
        <v/>
      </c>
      <c r="EV104" s="32">
        <v>2</v>
      </c>
      <c r="EW104" s="32"/>
      <c r="EX104" s="35"/>
      <c r="EY104" s="86"/>
      <c r="EZ104" s="35"/>
      <c r="FA104" s="45" t="str">
        <f>IF(EO104="", "", IF(EO104&gt;12, EM104+5, IF(EO104&lt;10, EM104-5, EM104)))</f>
        <v/>
      </c>
      <c r="FB104" s="53">
        <v>1</v>
      </c>
      <c r="FC104" s="53"/>
      <c r="FD104" s="41"/>
      <c r="FE104" s="47" t="str">
        <f>IF(ES102="", "", IF(ES102&gt;12, EQ102+$T$17, IF(ES102&lt;10, EQ102-$T$17, EQ102)))</f>
        <v/>
      </c>
      <c r="FF104" s="39">
        <v>3</v>
      </c>
      <c r="FG104" s="39"/>
      <c r="FH104" s="41"/>
      <c r="FI104" s="47" t="str">
        <f>IF(EW103="", "", IF(EW103&gt;12, EU103+$T$17, IF(EW103&lt;10, EU103-$T$17, EU103)))</f>
        <v/>
      </c>
      <c r="FJ104" s="32">
        <v>2</v>
      </c>
      <c r="FK104" s="32"/>
      <c r="FL104" s="35"/>
      <c r="FM104" s="86"/>
    </row>
    <row r="105" spans="1:169" ht="15.75" customHeight="1">
      <c r="A105" s="86"/>
      <c r="C105" s="53"/>
      <c r="D105" s="53">
        <v>2</v>
      </c>
      <c r="E105" s="53"/>
      <c r="F105" s="41"/>
      <c r="G105" s="54"/>
      <c r="H105" s="41"/>
      <c r="I105" s="41"/>
      <c r="J105" s="41"/>
      <c r="K105" s="31"/>
      <c r="L105" s="32"/>
      <c r="M105" s="32"/>
      <c r="O105" s="86"/>
      <c r="Q105" s="45" t="str">
        <f>IF(E104="", "", IF(E104&gt;12, C104+5, IF(E104&lt;10, C104-5, C104)))</f>
        <v/>
      </c>
      <c r="R105" s="53">
        <v>2</v>
      </c>
      <c r="S105" s="53"/>
      <c r="T105" s="41"/>
      <c r="U105" s="41"/>
      <c r="V105" s="40"/>
      <c r="W105" s="40"/>
      <c r="X105" s="41"/>
      <c r="Y105" s="47"/>
      <c r="Z105" s="32"/>
      <c r="AA105" s="32"/>
      <c r="AC105" s="86"/>
      <c r="AD105" s="35"/>
      <c r="AE105" s="45" t="str">
        <f>IF(S104="", "", IF(S104&gt;12, Q104+5, IF(S104&lt;10, Q104-5, Q104)))</f>
        <v/>
      </c>
      <c r="AF105" s="53">
        <v>2</v>
      </c>
      <c r="AG105" s="53"/>
      <c r="AH105" s="41"/>
      <c r="AI105" s="41"/>
      <c r="AJ105" s="40"/>
      <c r="AK105" s="40"/>
      <c r="AL105" s="41"/>
      <c r="AM105" s="47"/>
      <c r="AN105" s="32"/>
      <c r="AO105" s="32"/>
      <c r="AP105" s="35"/>
      <c r="AQ105" s="86"/>
      <c r="AR105" s="35"/>
      <c r="AS105" s="45" t="str">
        <f>IF(AG104="", "", IF(AG104&gt;12, AE104+5, IF(AG104&lt;10, AE104-5, AE104)))</f>
        <v/>
      </c>
      <c r="AT105" s="53">
        <v>2</v>
      </c>
      <c r="AU105" s="53"/>
      <c r="AV105" s="41"/>
      <c r="AW105" s="41"/>
      <c r="AX105" s="40"/>
      <c r="AY105" s="40"/>
      <c r="AZ105" s="41"/>
      <c r="BA105" s="47"/>
      <c r="BB105" s="32"/>
      <c r="BC105" s="32"/>
      <c r="BD105" s="35"/>
      <c r="BE105" s="86"/>
      <c r="BF105" s="35"/>
      <c r="BG105" s="45" t="str">
        <f>IF(AU104="", "", IF(AU104&gt;12, AS104+5, IF(AU104&lt;10, AS104-5, AS104)))</f>
        <v/>
      </c>
      <c r="BH105" s="53">
        <v>2</v>
      </c>
      <c r="BI105" s="53"/>
      <c r="BJ105" s="41"/>
      <c r="BK105" s="41"/>
      <c r="BL105" s="40"/>
      <c r="BM105" s="40"/>
      <c r="BN105" s="41"/>
      <c r="BO105" s="47"/>
      <c r="BP105" s="32"/>
      <c r="BQ105" s="32"/>
      <c r="BR105" s="35"/>
      <c r="BS105" s="86"/>
      <c r="BT105" s="35"/>
      <c r="BU105" s="45" t="str">
        <f>IF(BI104="", "", IF(BI104&gt;12, BG104+5, IF(BI104&lt;10, BG104-5, BG104)))</f>
        <v/>
      </c>
      <c r="BV105" s="53">
        <v>2</v>
      </c>
      <c r="BW105" s="53"/>
      <c r="BX105" s="41"/>
      <c r="BY105" s="41"/>
      <c r="BZ105" s="40"/>
      <c r="CA105" s="40"/>
      <c r="CB105" s="41"/>
      <c r="CC105" s="47"/>
      <c r="CD105" s="32"/>
      <c r="CE105" s="32"/>
      <c r="CF105" s="35"/>
      <c r="CG105" s="86"/>
      <c r="CH105" s="35"/>
      <c r="CI105" s="45" t="str">
        <f>IF(BW104="", "", IF(BW104&gt;12, BU104+5, IF(BW104&lt;10, BU104-5, BU104)))</f>
        <v/>
      </c>
      <c r="CJ105" s="53">
        <v>2</v>
      </c>
      <c r="CK105" s="53"/>
      <c r="CL105" s="41"/>
      <c r="CM105" s="41"/>
      <c r="CN105" s="40"/>
      <c r="CO105" s="40"/>
      <c r="CP105" s="41"/>
      <c r="CQ105" s="47"/>
      <c r="CR105" s="32"/>
      <c r="CS105" s="32"/>
      <c r="CT105" s="35"/>
      <c r="CU105" s="86"/>
      <c r="CV105" s="35"/>
      <c r="CW105" s="45" t="str">
        <f>IF(CK104="", "", IF(CK104&gt;12, CI104+5, IF(CK104&lt;10, CI104-5, CI104)))</f>
        <v/>
      </c>
      <c r="CX105" s="53">
        <v>2</v>
      </c>
      <c r="CY105" s="53"/>
      <c r="CZ105" s="41"/>
      <c r="DA105" s="41"/>
      <c r="DB105" s="40"/>
      <c r="DC105" s="40"/>
      <c r="DD105" s="41"/>
      <c r="DE105" s="47"/>
      <c r="DF105" s="32"/>
      <c r="DG105" s="32"/>
      <c r="DH105" s="35"/>
      <c r="DI105" s="86"/>
      <c r="DJ105" s="35"/>
      <c r="DK105" s="45" t="str">
        <f>IF(CY104="", "", IF(CY104&gt;12, CW104+5, IF(CY104&lt;10, CW104-5, CW104)))</f>
        <v/>
      </c>
      <c r="DL105" s="53">
        <v>2</v>
      </c>
      <c r="DM105" s="53"/>
      <c r="DN105" s="41"/>
      <c r="DO105" s="41"/>
      <c r="DP105" s="40"/>
      <c r="DQ105" s="40"/>
      <c r="DR105" s="41"/>
      <c r="DS105" s="47"/>
      <c r="DT105" s="32"/>
      <c r="DU105" s="32"/>
      <c r="DV105" s="35"/>
      <c r="DW105" s="86"/>
      <c r="DX105" s="35"/>
      <c r="DY105" s="45" t="str">
        <f>IF(DM104="", "", IF(DM104&gt;12, DK104+5, IF(DM104&lt;10, DK104-5, DK104)))</f>
        <v/>
      </c>
      <c r="DZ105" s="53">
        <v>2</v>
      </c>
      <c r="EA105" s="53"/>
      <c r="EB105" s="41"/>
      <c r="EC105" s="41"/>
      <c r="ED105" s="40"/>
      <c r="EE105" s="40"/>
      <c r="EF105" s="41"/>
      <c r="EG105" s="47"/>
      <c r="EH105" s="32"/>
      <c r="EI105" s="32"/>
      <c r="EJ105" s="35"/>
      <c r="EK105" s="86"/>
      <c r="EL105" s="35"/>
      <c r="EM105" s="45" t="str">
        <f>IF(EA104="", "", IF(EA104&gt;12, DY104+5, IF(EA104&lt;10, DY104-5, DY104)))</f>
        <v/>
      </c>
      <c r="EN105" s="53">
        <v>2</v>
      </c>
      <c r="EO105" s="53"/>
      <c r="EP105" s="41"/>
      <c r="EQ105" s="41"/>
      <c r="ER105" s="40"/>
      <c r="ES105" s="40"/>
      <c r="ET105" s="41"/>
      <c r="EU105" s="47"/>
      <c r="EV105" s="32"/>
      <c r="EW105" s="32"/>
      <c r="EX105" s="35"/>
      <c r="EY105" s="86"/>
      <c r="EZ105" s="35"/>
      <c r="FA105" s="45" t="str">
        <f>IF(EO104="", "", IF(EO104&gt;12, EM104+5, IF(EO104&lt;10, EM104-5, EM104)))</f>
        <v/>
      </c>
      <c r="FB105" s="53">
        <v>2</v>
      </c>
      <c r="FC105" s="53"/>
      <c r="FD105" s="41"/>
      <c r="FE105" s="41"/>
      <c r="FF105" s="40"/>
      <c r="FG105" s="40"/>
      <c r="FH105" s="41"/>
      <c r="FI105" s="47"/>
      <c r="FJ105" s="32"/>
      <c r="FK105" s="32"/>
      <c r="FL105" s="35"/>
      <c r="FM105" s="86"/>
    </row>
    <row r="106" spans="1:169" ht="15.75" customHeight="1">
      <c r="A106" s="86"/>
      <c r="C106" s="53"/>
      <c r="D106" s="53">
        <v>3</v>
      </c>
      <c r="E106" s="53"/>
      <c r="F106" s="41"/>
      <c r="G106" s="77" t="s">
        <v>50</v>
      </c>
      <c r="H106" s="72"/>
      <c r="I106" s="73"/>
      <c r="J106" s="41"/>
      <c r="K106" s="28"/>
      <c r="L106" s="28"/>
      <c r="M106" s="28"/>
      <c r="O106" s="86"/>
      <c r="Q106" s="45" t="str">
        <f>IF(E104="", "", IF(E104&gt;12, C104+5, IF(E104&lt;10, C104-5, C104)))</f>
        <v/>
      </c>
      <c r="R106" s="53">
        <v>3</v>
      </c>
      <c r="S106" s="53"/>
      <c r="T106" s="41"/>
      <c r="U106" s="77" t="s">
        <v>50</v>
      </c>
      <c r="V106" s="72"/>
      <c r="W106" s="73"/>
      <c r="X106" s="41"/>
      <c r="Y106" s="28"/>
      <c r="Z106" s="28"/>
      <c r="AA106" s="28"/>
      <c r="AC106" s="86"/>
      <c r="AD106" s="35"/>
      <c r="AE106" s="45" t="str">
        <f>IF(S104="", "", IF(S104&gt;12, Q104+5, IF(S104&lt;10, Q104-5, Q104)))</f>
        <v/>
      </c>
      <c r="AF106" s="53">
        <v>3</v>
      </c>
      <c r="AG106" s="53"/>
      <c r="AH106" s="41"/>
      <c r="AI106" s="77" t="s">
        <v>50</v>
      </c>
      <c r="AJ106" s="72"/>
      <c r="AK106" s="73"/>
      <c r="AL106" s="41"/>
      <c r="AM106" s="28"/>
      <c r="AN106" s="28"/>
      <c r="AO106" s="28"/>
      <c r="AP106" s="35"/>
      <c r="AQ106" s="86"/>
      <c r="AR106" s="35"/>
      <c r="AS106" s="45" t="str">
        <f>IF(AG104="", "", IF(AG104&gt;12, AE104+5, IF(AG104&lt;10, AE104-5, AE104)))</f>
        <v/>
      </c>
      <c r="AT106" s="53">
        <v>3</v>
      </c>
      <c r="AU106" s="53"/>
      <c r="AV106" s="41"/>
      <c r="AW106" s="77" t="s">
        <v>50</v>
      </c>
      <c r="AX106" s="72"/>
      <c r="AY106" s="73"/>
      <c r="AZ106" s="41"/>
      <c r="BA106" s="28"/>
      <c r="BB106" s="28"/>
      <c r="BC106" s="28"/>
      <c r="BD106" s="35"/>
      <c r="BE106" s="86"/>
      <c r="BF106" s="35"/>
      <c r="BG106" s="45" t="str">
        <f>IF(AU104="", "", IF(AU104&gt;12, AS104+5, IF(AU104&lt;10, AS104-5, AS104)))</f>
        <v/>
      </c>
      <c r="BH106" s="53">
        <v>3</v>
      </c>
      <c r="BI106" s="53"/>
      <c r="BJ106" s="41"/>
      <c r="BK106" s="77" t="s">
        <v>50</v>
      </c>
      <c r="BL106" s="72"/>
      <c r="BM106" s="73"/>
      <c r="BN106" s="41"/>
      <c r="BO106" s="28"/>
      <c r="BP106" s="28"/>
      <c r="BQ106" s="28"/>
      <c r="BR106" s="35"/>
      <c r="BS106" s="86"/>
      <c r="BT106" s="35"/>
      <c r="BU106" s="45" t="str">
        <f>IF(BI104="", "", IF(BI104&gt;12, BG104+5, IF(BI104&lt;10, BG104-5, BG104)))</f>
        <v/>
      </c>
      <c r="BV106" s="53">
        <v>3</v>
      </c>
      <c r="BW106" s="53"/>
      <c r="BX106" s="41"/>
      <c r="BY106" s="77" t="s">
        <v>50</v>
      </c>
      <c r="BZ106" s="72"/>
      <c r="CA106" s="73"/>
      <c r="CB106" s="41"/>
      <c r="CC106" s="28"/>
      <c r="CD106" s="28"/>
      <c r="CE106" s="28"/>
      <c r="CF106" s="35"/>
      <c r="CG106" s="86"/>
      <c r="CH106" s="35"/>
      <c r="CI106" s="45" t="str">
        <f>IF(BW104="", "", IF(BW104&gt;12, BU104+5, IF(BW104&lt;10, BU104-5, BU104)))</f>
        <v/>
      </c>
      <c r="CJ106" s="53">
        <v>3</v>
      </c>
      <c r="CK106" s="53"/>
      <c r="CL106" s="41"/>
      <c r="CM106" s="77" t="s">
        <v>50</v>
      </c>
      <c r="CN106" s="72"/>
      <c r="CO106" s="73"/>
      <c r="CP106" s="41"/>
      <c r="CQ106" s="28"/>
      <c r="CR106" s="28"/>
      <c r="CS106" s="28"/>
      <c r="CT106" s="35"/>
      <c r="CU106" s="86"/>
      <c r="CV106" s="35"/>
      <c r="CW106" s="45" t="str">
        <f>IF(CK104="", "", IF(CK104&gt;12, CI104+5, IF(CK104&lt;10, CI104-5, CI104)))</f>
        <v/>
      </c>
      <c r="CX106" s="53">
        <v>3</v>
      </c>
      <c r="CY106" s="53"/>
      <c r="CZ106" s="41"/>
      <c r="DA106" s="77" t="s">
        <v>50</v>
      </c>
      <c r="DB106" s="72"/>
      <c r="DC106" s="73"/>
      <c r="DD106" s="41"/>
      <c r="DE106" s="28"/>
      <c r="DF106" s="28"/>
      <c r="DG106" s="28"/>
      <c r="DH106" s="35"/>
      <c r="DI106" s="86"/>
      <c r="DJ106" s="35"/>
      <c r="DK106" s="45" t="str">
        <f>IF(CY104="", "", IF(CY104&gt;12, CW104+5, IF(CY104&lt;10, CW104-5, CW104)))</f>
        <v/>
      </c>
      <c r="DL106" s="53">
        <v>3</v>
      </c>
      <c r="DM106" s="53"/>
      <c r="DN106" s="41"/>
      <c r="DO106" s="77" t="s">
        <v>50</v>
      </c>
      <c r="DP106" s="72"/>
      <c r="DQ106" s="73"/>
      <c r="DR106" s="41"/>
      <c r="DS106" s="28"/>
      <c r="DT106" s="28"/>
      <c r="DU106" s="28"/>
      <c r="DV106" s="35"/>
      <c r="DW106" s="86"/>
      <c r="DX106" s="35"/>
      <c r="DY106" s="45" t="str">
        <f>IF(DM104="", "", IF(DM104&gt;12, DK104+5, IF(DM104&lt;10, DK104-5, DK104)))</f>
        <v/>
      </c>
      <c r="DZ106" s="53">
        <v>3</v>
      </c>
      <c r="EA106" s="53"/>
      <c r="EB106" s="41"/>
      <c r="EC106" s="77" t="s">
        <v>50</v>
      </c>
      <c r="ED106" s="72"/>
      <c r="EE106" s="73"/>
      <c r="EF106" s="41"/>
      <c r="EG106" s="28"/>
      <c r="EH106" s="28"/>
      <c r="EI106" s="28"/>
      <c r="EJ106" s="35"/>
      <c r="EK106" s="86"/>
      <c r="EL106" s="35"/>
      <c r="EM106" s="45" t="str">
        <f>IF(EA104="", "", IF(EA104&gt;12, DY104+5, IF(EA104&lt;10, DY104-5, DY104)))</f>
        <v/>
      </c>
      <c r="EN106" s="53">
        <v>3</v>
      </c>
      <c r="EO106" s="53"/>
      <c r="EP106" s="41"/>
      <c r="EQ106" s="77" t="s">
        <v>50</v>
      </c>
      <c r="ER106" s="72"/>
      <c r="ES106" s="73"/>
      <c r="ET106" s="41"/>
      <c r="EU106" s="28"/>
      <c r="EV106" s="28"/>
      <c r="EW106" s="28"/>
      <c r="EX106" s="35"/>
      <c r="EY106" s="86"/>
      <c r="EZ106" s="35"/>
      <c r="FA106" s="45" t="str">
        <f>IF(EO104="", "", IF(EO104&gt;12, EM104+5, IF(EO104&lt;10, EM104-5, EM104)))</f>
        <v/>
      </c>
      <c r="FB106" s="53">
        <v>3</v>
      </c>
      <c r="FC106" s="53"/>
      <c r="FD106" s="41"/>
      <c r="FE106" s="77" t="s">
        <v>50</v>
      </c>
      <c r="FF106" s="72"/>
      <c r="FG106" s="73"/>
      <c r="FH106" s="41"/>
      <c r="FI106" s="28"/>
      <c r="FJ106" s="28"/>
      <c r="FK106" s="28"/>
      <c r="FL106" s="35"/>
      <c r="FM106" s="86"/>
    </row>
    <row r="107" spans="1:169" ht="15.75" customHeight="1">
      <c r="A107" s="86"/>
      <c r="B107" s="30"/>
      <c r="C107" s="62" t="s">
        <v>17</v>
      </c>
      <c r="D107" s="63"/>
      <c r="E107" s="64"/>
      <c r="F107" s="40"/>
      <c r="G107" s="47" t="s">
        <v>4</v>
      </c>
      <c r="H107" s="32" t="s">
        <v>38</v>
      </c>
      <c r="I107" s="32" t="s">
        <v>39</v>
      </c>
      <c r="J107" s="40"/>
      <c r="K107" s="65" t="s">
        <v>15</v>
      </c>
      <c r="L107" s="59"/>
      <c r="M107" s="59"/>
      <c r="O107" s="86"/>
      <c r="Q107" s="62" t="s">
        <v>17</v>
      </c>
      <c r="R107" s="63"/>
      <c r="S107" s="64"/>
      <c r="T107" s="40"/>
      <c r="U107" s="47" t="s">
        <v>4</v>
      </c>
      <c r="V107" s="32" t="s">
        <v>38</v>
      </c>
      <c r="W107" s="32" t="s">
        <v>39</v>
      </c>
      <c r="X107" s="40"/>
      <c r="Y107" s="65" t="s">
        <v>15</v>
      </c>
      <c r="Z107" s="59"/>
      <c r="AA107" s="59"/>
      <c r="AC107" s="86"/>
      <c r="AD107" s="35"/>
      <c r="AE107" s="62" t="s">
        <v>17</v>
      </c>
      <c r="AF107" s="63"/>
      <c r="AG107" s="64"/>
      <c r="AH107" s="40"/>
      <c r="AI107" s="47" t="s">
        <v>4</v>
      </c>
      <c r="AJ107" s="32" t="s">
        <v>38</v>
      </c>
      <c r="AK107" s="32" t="s">
        <v>39</v>
      </c>
      <c r="AL107" s="40"/>
      <c r="AM107" s="65" t="s">
        <v>15</v>
      </c>
      <c r="AN107" s="59"/>
      <c r="AO107" s="59"/>
      <c r="AP107" s="35"/>
      <c r="AQ107" s="86"/>
      <c r="AR107" s="35"/>
      <c r="AS107" s="62" t="s">
        <v>17</v>
      </c>
      <c r="AT107" s="63"/>
      <c r="AU107" s="64"/>
      <c r="AV107" s="40"/>
      <c r="AW107" s="47" t="s">
        <v>4</v>
      </c>
      <c r="AX107" s="32" t="s">
        <v>38</v>
      </c>
      <c r="AY107" s="32" t="s">
        <v>39</v>
      </c>
      <c r="AZ107" s="40"/>
      <c r="BA107" s="65" t="s">
        <v>15</v>
      </c>
      <c r="BB107" s="59"/>
      <c r="BC107" s="59"/>
      <c r="BD107" s="35"/>
      <c r="BE107" s="86"/>
      <c r="BF107" s="35"/>
      <c r="BG107" s="62" t="s">
        <v>17</v>
      </c>
      <c r="BH107" s="63"/>
      <c r="BI107" s="64"/>
      <c r="BJ107" s="40"/>
      <c r="BK107" s="47" t="s">
        <v>4</v>
      </c>
      <c r="BL107" s="32" t="s">
        <v>38</v>
      </c>
      <c r="BM107" s="32" t="s">
        <v>39</v>
      </c>
      <c r="BN107" s="40"/>
      <c r="BO107" s="65" t="s">
        <v>15</v>
      </c>
      <c r="BP107" s="59"/>
      <c r="BQ107" s="59"/>
      <c r="BR107" s="35"/>
      <c r="BS107" s="86"/>
      <c r="BT107" s="35"/>
      <c r="BU107" s="62" t="s">
        <v>17</v>
      </c>
      <c r="BV107" s="63"/>
      <c r="BW107" s="64"/>
      <c r="BX107" s="40"/>
      <c r="BY107" s="47" t="s">
        <v>4</v>
      </c>
      <c r="BZ107" s="32" t="s">
        <v>38</v>
      </c>
      <c r="CA107" s="32" t="s">
        <v>39</v>
      </c>
      <c r="CB107" s="40"/>
      <c r="CC107" s="65" t="s">
        <v>15</v>
      </c>
      <c r="CD107" s="59"/>
      <c r="CE107" s="59"/>
      <c r="CF107" s="35"/>
      <c r="CG107" s="86"/>
      <c r="CH107" s="35"/>
      <c r="CI107" s="62" t="s">
        <v>17</v>
      </c>
      <c r="CJ107" s="63"/>
      <c r="CK107" s="64"/>
      <c r="CL107" s="40"/>
      <c r="CM107" s="47" t="s">
        <v>4</v>
      </c>
      <c r="CN107" s="32" t="s">
        <v>38</v>
      </c>
      <c r="CO107" s="32" t="s">
        <v>39</v>
      </c>
      <c r="CP107" s="40"/>
      <c r="CQ107" s="65" t="s">
        <v>15</v>
      </c>
      <c r="CR107" s="59"/>
      <c r="CS107" s="59"/>
      <c r="CT107" s="35"/>
      <c r="CU107" s="86"/>
      <c r="CV107" s="35"/>
      <c r="CW107" s="62" t="s">
        <v>17</v>
      </c>
      <c r="CX107" s="63"/>
      <c r="CY107" s="64"/>
      <c r="CZ107" s="40"/>
      <c r="DA107" s="47" t="s">
        <v>4</v>
      </c>
      <c r="DB107" s="32" t="s">
        <v>38</v>
      </c>
      <c r="DC107" s="32" t="s">
        <v>39</v>
      </c>
      <c r="DD107" s="40"/>
      <c r="DE107" s="65" t="s">
        <v>15</v>
      </c>
      <c r="DF107" s="59"/>
      <c r="DG107" s="59"/>
      <c r="DH107" s="35"/>
      <c r="DI107" s="86"/>
      <c r="DJ107" s="35"/>
      <c r="DK107" s="62" t="s">
        <v>17</v>
      </c>
      <c r="DL107" s="63"/>
      <c r="DM107" s="64"/>
      <c r="DN107" s="40"/>
      <c r="DO107" s="47" t="s">
        <v>4</v>
      </c>
      <c r="DP107" s="32" t="s">
        <v>38</v>
      </c>
      <c r="DQ107" s="32" t="s">
        <v>39</v>
      </c>
      <c r="DR107" s="40"/>
      <c r="DS107" s="65" t="s">
        <v>15</v>
      </c>
      <c r="DT107" s="59"/>
      <c r="DU107" s="59"/>
      <c r="DV107" s="35"/>
      <c r="DW107" s="86"/>
      <c r="DX107" s="35"/>
      <c r="DY107" s="62" t="s">
        <v>17</v>
      </c>
      <c r="DZ107" s="63"/>
      <c r="EA107" s="64"/>
      <c r="EB107" s="40"/>
      <c r="EC107" s="47" t="s">
        <v>4</v>
      </c>
      <c r="ED107" s="32" t="s">
        <v>38</v>
      </c>
      <c r="EE107" s="32" t="s">
        <v>39</v>
      </c>
      <c r="EF107" s="40"/>
      <c r="EG107" s="65" t="s">
        <v>15</v>
      </c>
      <c r="EH107" s="59"/>
      <c r="EI107" s="59"/>
      <c r="EJ107" s="35"/>
      <c r="EK107" s="86"/>
      <c r="EL107" s="35"/>
      <c r="EM107" s="62" t="s">
        <v>17</v>
      </c>
      <c r="EN107" s="63"/>
      <c r="EO107" s="64"/>
      <c r="EP107" s="40"/>
      <c r="EQ107" s="47" t="s">
        <v>4</v>
      </c>
      <c r="ER107" s="32" t="s">
        <v>38</v>
      </c>
      <c r="ES107" s="32" t="s">
        <v>39</v>
      </c>
      <c r="ET107" s="40"/>
      <c r="EU107" s="65" t="s">
        <v>15</v>
      </c>
      <c r="EV107" s="59"/>
      <c r="EW107" s="59"/>
      <c r="EX107" s="35"/>
      <c r="EY107" s="86"/>
      <c r="EZ107" s="35"/>
      <c r="FA107" s="62" t="s">
        <v>17</v>
      </c>
      <c r="FB107" s="63"/>
      <c r="FC107" s="64"/>
      <c r="FD107" s="40"/>
      <c r="FE107" s="47" t="s">
        <v>4</v>
      </c>
      <c r="FF107" s="32" t="s">
        <v>38</v>
      </c>
      <c r="FG107" s="32" t="s">
        <v>39</v>
      </c>
      <c r="FH107" s="40"/>
      <c r="FI107" s="65" t="s">
        <v>15</v>
      </c>
      <c r="FJ107" s="59"/>
      <c r="FK107" s="59"/>
      <c r="FL107" s="35"/>
      <c r="FM107" s="86"/>
    </row>
    <row r="108" spans="1:169" ht="15.75" customHeight="1">
      <c r="A108" s="86"/>
      <c r="B108" s="34"/>
      <c r="C108" s="33" t="s">
        <v>4</v>
      </c>
      <c r="D108" s="33" t="s">
        <v>38</v>
      </c>
      <c r="E108" s="33" t="s">
        <v>39</v>
      </c>
      <c r="F108" s="30" t="str">
        <f>"берем около " &amp; INT(0.6*F37)&amp; "кг"</f>
        <v>берем около 0кг</v>
      </c>
      <c r="G108" s="47"/>
      <c r="H108" s="32">
        <v>1</v>
      </c>
      <c r="I108" s="32"/>
      <c r="J108" s="40"/>
      <c r="K108" s="31" t="s">
        <v>4</v>
      </c>
      <c r="L108" s="32" t="s">
        <v>38</v>
      </c>
      <c r="M108" s="32" t="s">
        <v>39</v>
      </c>
      <c r="O108" s="86"/>
      <c r="Q108" s="33" t="s">
        <v>4</v>
      </c>
      <c r="R108" s="33" t="s">
        <v>38</v>
      </c>
      <c r="S108" s="33" t="s">
        <v>39</v>
      </c>
      <c r="T108" s="30"/>
      <c r="U108" s="45" t="str">
        <f>IF(I108="", "", IF(I108&gt;12, G108+2.5, IF(I108&lt;10, G108-2.5, G108)))</f>
        <v/>
      </c>
      <c r="V108" s="32">
        <v>1</v>
      </c>
      <c r="W108" s="32"/>
      <c r="X108" s="40"/>
      <c r="Y108" s="31" t="s">
        <v>4</v>
      </c>
      <c r="Z108" s="32" t="s">
        <v>38</v>
      </c>
      <c r="AA108" s="32" t="s">
        <v>39</v>
      </c>
      <c r="AC108" s="86"/>
      <c r="AD108" s="35"/>
      <c r="AE108" s="33" t="s">
        <v>4</v>
      </c>
      <c r="AF108" s="33" t="s">
        <v>38</v>
      </c>
      <c r="AG108" s="33" t="s">
        <v>39</v>
      </c>
      <c r="AH108" s="30"/>
      <c r="AI108" s="45" t="str">
        <f>IF(W108="", "", IF(W108&gt;12, U108+2.5, IF(W108&lt;10, U108-2.5, U108)))</f>
        <v/>
      </c>
      <c r="AJ108" s="32">
        <v>1</v>
      </c>
      <c r="AK108" s="32"/>
      <c r="AL108" s="40"/>
      <c r="AM108" s="31" t="s">
        <v>4</v>
      </c>
      <c r="AN108" s="32" t="s">
        <v>38</v>
      </c>
      <c r="AO108" s="32" t="s">
        <v>39</v>
      </c>
      <c r="AP108" s="35"/>
      <c r="AQ108" s="86"/>
      <c r="AR108" s="35"/>
      <c r="AS108" s="33" t="s">
        <v>4</v>
      </c>
      <c r="AT108" s="33" t="s">
        <v>38</v>
      </c>
      <c r="AU108" s="33" t="s">
        <v>39</v>
      </c>
      <c r="AV108" s="30"/>
      <c r="AW108" s="45" t="str">
        <f>IF(AK108="", "", IF(AK108&gt;12, AI108+2.5, IF(AK108&lt;10, AI108-2.5, AI108)))</f>
        <v/>
      </c>
      <c r="AX108" s="32">
        <v>1</v>
      </c>
      <c r="AY108" s="32"/>
      <c r="AZ108" s="40"/>
      <c r="BA108" s="31" t="s">
        <v>4</v>
      </c>
      <c r="BB108" s="32" t="s">
        <v>38</v>
      </c>
      <c r="BC108" s="32" t="s">
        <v>39</v>
      </c>
      <c r="BD108" s="35"/>
      <c r="BE108" s="86"/>
      <c r="BF108" s="35"/>
      <c r="BG108" s="33" t="s">
        <v>4</v>
      </c>
      <c r="BH108" s="33" t="s">
        <v>38</v>
      </c>
      <c r="BI108" s="33" t="s">
        <v>39</v>
      </c>
      <c r="BJ108" s="30"/>
      <c r="BK108" s="45" t="str">
        <f>IF(AY108="", "", IF(AY108&gt;12, AW108+2.5, IF(AY108&lt;10, AW108-2.5, AW108)))</f>
        <v/>
      </c>
      <c r="BL108" s="32">
        <v>1</v>
      </c>
      <c r="BM108" s="32"/>
      <c r="BN108" s="40"/>
      <c r="BO108" s="31" t="s">
        <v>4</v>
      </c>
      <c r="BP108" s="32" t="s">
        <v>38</v>
      </c>
      <c r="BQ108" s="32" t="s">
        <v>39</v>
      </c>
      <c r="BR108" s="35"/>
      <c r="BS108" s="86"/>
      <c r="BT108" s="35"/>
      <c r="BU108" s="33" t="s">
        <v>4</v>
      </c>
      <c r="BV108" s="33" t="s">
        <v>38</v>
      </c>
      <c r="BW108" s="33" t="s">
        <v>39</v>
      </c>
      <c r="BX108" s="30"/>
      <c r="BY108" s="45" t="str">
        <f>IF(BM108="", "", IF(BM108&gt;12, BK108+2.5, IF(BM108&lt;10, BK108-2.5, BK108)))</f>
        <v/>
      </c>
      <c r="BZ108" s="32">
        <v>1</v>
      </c>
      <c r="CA108" s="32"/>
      <c r="CB108" s="40"/>
      <c r="CC108" s="31" t="s">
        <v>4</v>
      </c>
      <c r="CD108" s="32" t="s">
        <v>38</v>
      </c>
      <c r="CE108" s="32" t="s">
        <v>39</v>
      </c>
      <c r="CF108" s="35"/>
      <c r="CG108" s="86"/>
      <c r="CH108" s="35"/>
      <c r="CI108" s="33" t="s">
        <v>4</v>
      </c>
      <c r="CJ108" s="33" t="s">
        <v>38</v>
      </c>
      <c r="CK108" s="33" t="s">
        <v>39</v>
      </c>
      <c r="CL108" s="30"/>
      <c r="CM108" s="45" t="str">
        <f>IF(CA108="", "", IF(CA108&gt;12, BY108+2.5, IF(CA108&lt;10, BY108-2.5, BY108)))</f>
        <v/>
      </c>
      <c r="CN108" s="32">
        <v>1</v>
      </c>
      <c r="CO108" s="32"/>
      <c r="CP108" s="40"/>
      <c r="CQ108" s="31" t="s">
        <v>4</v>
      </c>
      <c r="CR108" s="32" t="s">
        <v>38</v>
      </c>
      <c r="CS108" s="32" t="s">
        <v>39</v>
      </c>
      <c r="CT108" s="35"/>
      <c r="CU108" s="86"/>
      <c r="CV108" s="35"/>
      <c r="CW108" s="33" t="s">
        <v>4</v>
      </c>
      <c r="CX108" s="33" t="s">
        <v>38</v>
      </c>
      <c r="CY108" s="33" t="s">
        <v>39</v>
      </c>
      <c r="CZ108" s="30"/>
      <c r="DA108" s="45" t="str">
        <f>IF(CO108="", "", IF(CO108&gt;12, CM108+2.5, IF(CO108&lt;10, CM108-2.5, CM108)))</f>
        <v/>
      </c>
      <c r="DB108" s="32">
        <v>1</v>
      </c>
      <c r="DC108" s="32"/>
      <c r="DD108" s="40"/>
      <c r="DE108" s="31" t="s">
        <v>4</v>
      </c>
      <c r="DF108" s="32" t="s">
        <v>38</v>
      </c>
      <c r="DG108" s="32" t="s">
        <v>39</v>
      </c>
      <c r="DH108" s="35"/>
      <c r="DI108" s="86"/>
      <c r="DJ108" s="35"/>
      <c r="DK108" s="33" t="s">
        <v>4</v>
      </c>
      <c r="DL108" s="33" t="s">
        <v>38</v>
      </c>
      <c r="DM108" s="33" t="s">
        <v>39</v>
      </c>
      <c r="DN108" s="30"/>
      <c r="DO108" s="45" t="str">
        <f>IF(DC108="", "", IF(DC108&gt;12, DA108+2.5, IF(DC108&lt;10, DA108-2.5, DA108)))</f>
        <v/>
      </c>
      <c r="DP108" s="32">
        <v>1</v>
      </c>
      <c r="DQ108" s="32"/>
      <c r="DR108" s="40"/>
      <c r="DS108" s="31" t="s">
        <v>4</v>
      </c>
      <c r="DT108" s="32" t="s">
        <v>38</v>
      </c>
      <c r="DU108" s="32" t="s">
        <v>39</v>
      </c>
      <c r="DV108" s="35"/>
      <c r="DW108" s="86"/>
      <c r="DX108" s="35"/>
      <c r="DY108" s="33" t="s">
        <v>4</v>
      </c>
      <c r="DZ108" s="33" t="s">
        <v>38</v>
      </c>
      <c r="EA108" s="33" t="s">
        <v>39</v>
      </c>
      <c r="EB108" s="30"/>
      <c r="EC108" s="45" t="str">
        <f>IF(DQ108="", "", IF(DQ108&gt;12, DO108+2.5, IF(DQ108&lt;10, DO108-2.5, DO108)))</f>
        <v/>
      </c>
      <c r="ED108" s="32">
        <v>1</v>
      </c>
      <c r="EE108" s="32"/>
      <c r="EF108" s="40"/>
      <c r="EG108" s="31" t="s">
        <v>4</v>
      </c>
      <c r="EH108" s="32" t="s">
        <v>38</v>
      </c>
      <c r="EI108" s="32" t="s">
        <v>39</v>
      </c>
      <c r="EJ108" s="35"/>
      <c r="EK108" s="86"/>
      <c r="EL108" s="35"/>
      <c r="EM108" s="33" t="s">
        <v>4</v>
      </c>
      <c r="EN108" s="33" t="s">
        <v>38</v>
      </c>
      <c r="EO108" s="33" t="s">
        <v>39</v>
      </c>
      <c r="EP108" s="30"/>
      <c r="EQ108" s="45" t="str">
        <f>IF(EE108="", "", IF(EE108&gt;12, EC108+2.5, IF(EE108&lt;10, EC108-2.5, EC108)))</f>
        <v/>
      </c>
      <c r="ER108" s="32">
        <v>1</v>
      </c>
      <c r="ES108" s="32"/>
      <c r="ET108" s="40"/>
      <c r="EU108" s="31" t="s">
        <v>4</v>
      </c>
      <c r="EV108" s="32" t="s">
        <v>38</v>
      </c>
      <c r="EW108" s="32" t="s">
        <v>39</v>
      </c>
      <c r="EX108" s="35"/>
      <c r="EY108" s="86"/>
      <c r="EZ108" s="35"/>
      <c r="FA108" s="33" t="s">
        <v>4</v>
      </c>
      <c r="FB108" s="33" t="s">
        <v>38</v>
      </c>
      <c r="FC108" s="33" t="s">
        <v>39</v>
      </c>
      <c r="FD108" s="30"/>
      <c r="FE108" s="45" t="str">
        <f>IF(ES108="", "", IF(ES108&gt;12, EQ108+2.5, IF(ES108&lt;10, EQ108-2.5, EQ108)))</f>
        <v/>
      </c>
      <c r="FF108" s="32">
        <v>1</v>
      </c>
      <c r="FG108" s="32"/>
      <c r="FH108" s="40"/>
      <c r="FI108" s="31" t="s">
        <v>4</v>
      </c>
      <c r="FJ108" s="32" t="s">
        <v>38</v>
      </c>
      <c r="FK108" s="32" t="s">
        <v>39</v>
      </c>
      <c r="FL108" s="35"/>
      <c r="FM108" s="86"/>
    </row>
    <row r="109" spans="1:169" ht="15.75" customHeight="1">
      <c r="A109" s="86"/>
      <c r="B109" s="30" t="str">
        <f>"берем около " &amp; INT(0.6*F21)&amp; "кг"</f>
        <v>берем около 0кг</v>
      </c>
      <c r="C109" s="33"/>
      <c r="D109" s="33">
        <v>1</v>
      </c>
      <c r="E109" s="33"/>
      <c r="F109" s="41"/>
      <c r="G109" s="55"/>
      <c r="H109" s="56">
        <v>2</v>
      </c>
      <c r="I109" s="56"/>
      <c r="J109" s="30" t="str">
        <f>"берем около " &amp; INT(0.6*F51)&amp; "кг"</f>
        <v>берем около 0кг</v>
      </c>
      <c r="K109" s="31"/>
      <c r="L109" s="32">
        <v>1</v>
      </c>
      <c r="M109" s="32"/>
      <c r="O109" s="86"/>
      <c r="Q109" s="45" t="str">
        <f>IF(E109="", "", IF(E109&gt;12, C109+5, IF(E109&lt;10, C109-5, C109)))</f>
        <v/>
      </c>
      <c r="R109" s="33">
        <v>1</v>
      </c>
      <c r="S109" s="33"/>
      <c r="T109" s="41"/>
      <c r="U109" s="45" t="str">
        <f>IF(I108="", "", IF(I108&gt;12, G108+2.5, IF(I108&lt;10, G108-2.5, G108)))</f>
        <v/>
      </c>
      <c r="V109" s="56">
        <v>2</v>
      </c>
      <c r="W109" s="56"/>
      <c r="X109" s="30"/>
      <c r="Y109" s="45" t="str">
        <f>IF(M109="", "", IF(M109&gt;12, K109+5, IF(M109&lt;10, K109-5, K109)))</f>
        <v/>
      </c>
      <c r="Z109" s="32">
        <v>1</v>
      </c>
      <c r="AA109" s="32"/>
      <c r="AC109" s="86"/>
      <c r="AD109" s="35"/>
      <c r="AE109" s="45" t="str">
        <f>IF(S109="", "", IF(S109&gt;12, Q109+5, IF(S109&lt;10, Q109-5, Q109)))</f>
        <v/>
      </c>
      <c r="AF109" s="33">
        <v>1</v>
      </c>
      <c r="AG109" s="33"/>
      <c r="AH109" s="41"/>
      <c r="AI109" s="45" t="str">
        <f>IF(W108="", "", IF(W108&gt;12, U108+2.5, IF(W108&lt;10, U108-2.5, U108)))</f>
        <v/>
      </c>
      <c r="AJ109" s="56">
        <v>2</v>
      </c>
      <c r="AK109" s="56"/>
      <c r="AL109" s="30"/>
      <c r="AM109" s="45" t="str">
        <f>IF(AA109="", "", IF(AA109&gt;12, Y109+5, IF(AA109&lt;10, Y109-5, Y109)))</f>
        <v/>
      </c>
      <c r="AN109" s="32">
        <v>1</v>
      </c>
      <c r="AO109" s="32"/>
      <c r="AP109" s="35"/>
      <c r="AQ109" s="86"/>
      <c r="AR109" s="35"/>
      <c r="AS109" s="45" t="str">
        <f>IF(AG109="", "", IF(AG109&gt;12, AE109+5, IF(AG109&lt;10, AE109-5, AE109)))</f>
        <v/>
      </c>
      <c r="AT109" s="33">
        <v>1</v>
      </c>
      <c r="AU109" s="33"/>
      <c r="AV109" s="41"/>
      <c r="AW109" s="45" t="str">
        <f>IF(AK108="", "", IF(AK108&gt;12, AI108+2.5, IF(AK108&lt;10, AI108-2.5, AI108)))</f>
        <v/>
      </c>
      <c r="AX109" s="56">
        <v>2</v>
      </c>
      <c r="AY109" s="56"/>
      <c r="AZ109" s="30"/>
      <c r="BA109" s="45" t="str">
        <f>IF(AO109="", "", IF(AO109&gt;12, AM109+5, IF(AO109&lt;10, AM109-5, AM109)))</f>
        <v/>
      </c>
      <c r="BB109" s="32">
        <v>1</v>
      </c>
      <c r="BC109" s="32"/>
      <c r="BD109" s="35"/>
      <c r="BE109" s="86"/>
      <c r="BF109" s="35"/>
      <c r="BG109" s="45" t="str">
        <f>IF(AU109="", "", IF(AU109&gt;12, AS109+5, IF(AU109&lt;10, AS109-5, AS109)))</f>
        <v/>
      </c>
      <c r="BH109" s="33">
        <v>1</v>
      </c>
      <c r="BI109" s="33"/>
      <c r="BJ109" s="41"/>
      <c r="BK109" s="45" t="str">
        <f>IF(AY108="", "", IF(AY108&gt;12, AW108+2.5, IF(AY108&lt;10, AW108-2.5, AW108)))</f>
        <v/>
      </c>
      <c r="BL109" s="56">
        <v>2</v>
      </c>
      <c r="BM109" s="56"/>
      <c r="BN109" s="30"/>
      <c r="BO109" s="45" t="str">
        <f>IF(BC109="", "", IF(BC109&gt;12, BA109+5, IF(BC109&lt;10, BA109-5, BA109)))</f>
        <v/>
      </c>
      <c r="BP109" s="32">
        <v>1</v>
      </c>
      <c r="BQ109" s="32"/>
      <c r="BR109" s="35"/>
      <c r="BS109" s="86"/>
      <c r="BT109" s="35"/>
      <c r="BU109" s="45" t="str">
        <f>IF(BI109="", "", IF(BI109&gt;12, BG109+5, IF(BI109&lt;10, BG109-5, BG109)))</f>
        <v/>
      </c>
      <c r="BV109" s="33">
        <v>1</v>
      </c>
      <c r="BW109" s="33"/>
      <c r="BX109" s="41"/>
      <c r="BY109" s="45" t="str">
        <f>IF(BM108="", "", IF(BM108&gt;12, BK108+2.5, IF(BM108&lt;10, BK108-2.5, BK108)))</f>
        <v/>
      </c>
      <c r="BZ109" s="56">
        <v>2</v>
      </c>
      <c r="CA109" s="56"/>
      <c r="CB109" s="30"/>
      <c r="CC109" s="45" t="str">
        <f>IF(BQ109="", "", IF(BQ109&gt;12, BO109+5, IF(BQ109&lt;10, BO109-5, BO109)))</f>
        <v/>
      </c>
      <c r="CD109" s="32">
        <v>1</v>
      </c>
      <c r="CE109" s="32"/>
      <c r="CF109" s="35"/>
      <c r="CG109" s="86"/>
      <c r="CH109" s="35"/>
      <c r="CI109" s="45" t="str">
        <f>IF(BW109="", "", IF(BW109&gt;12, BU109+5, IF(BW109&lt;10, BU109-5, BU109)))</f>
        <v/>
      </c>
      <c r="CJ109" s="33">
        <v>1</v>
      </c>
      <c r="CK109" s="33"/>
      <c r="CL109" s="41"/>
      <c r="CM109" s="45" t="str">
        <f>IF(CA108="", "", IF(CA108&gt;12, BY108+2.5, IF(CA108&lt;10, BY108-2.5, BY108)))</f>
        <v/>
      </c>
      <c r="CN109" s="56">
        <v>2</v>
      </c>
      <c r="CO109" s="56"/>
      <c r="CP109" s="30"/>
      <c r="CQ109" s="45" t="str">
        <f>IF(CE109="", "", IF(CE109&gt;12, CC109+5, IF(CE109&lt;10, CC109-5, CC109)))</f>
        <v/>
      </c>
      <c r="CR109" s="32">
        <v>1</v>
      </c>
      <c r="CS109" s="32"/>
      <c r="CT109" s="35"/>
      <c r="CU109" s="86"/>
      <c r="CV109" s="35"/>
      <c r="CW109" s="45" t="str">
        <f>IF(CK109="", "", IF(CK109&gt;12, CI109+5, IF(CK109&lt;10, CI109-5, CI109)))</f>
        <v/>
      </c>
      <c r="CX109" s="33">
        <v>1</v>
      </c>
      <c r="CY109" s="33"/>
      <c r="CZ109" s="41"/>
      <c r="DA109" s="45" t="str">
        <f>IF(CO108="", "", IF(CO108&gt;12, CM108+2.5, IF(CO108&lt;10, CM108-2.5, CM108)))</f>
        <v/>
      </c>
      <c r="DB109" s="56">
        <v>2</v>
      </c>
      <c r="DC109" s="56"/>
      <c r="DD109" s="30"/>
      <c r="DE109" s="45" t="str">
        <f>IF(CS109="", "", IF(CS109&gt;12, CQ109+5, IF(CS109&lt;10, CQ109-5, CQ109)))</f>
        <v/>
      </c>
      <c r="DF109" s="32">
        <v>1</v>
      </c>
      <c r="DG109" s="32"/>
      <c r="DH109" s="35"/>
      <c r="DI109" s="86"/>
      <c r="DJ109" s="35"/>
      <c r="DK109" s="45" t="str">
        <f>IF(CY109="", "", IF(CY109&gt;12, CW109+5, IF(CY109&lt;10, CW109-5, CW109)))</f>
        <v/>
      </c>
      <c r="DL109" s="33">
        <v>1</v>
      </c>
      <c r="DM109" s="33"/>
      <c r="DN109" s="41"/>
      <c r="DO109" s="45" t="str">
        <f>IF(DC108="", "", IF(DC108&gt;12, DA108+2.5, IF(DC108&lt;10, DA108-2.5, DA108)))</f>
        <v/>
      </c>
      <c r="DP109" s="56">
        <v>2</v>
      </c>
      <c r="DQ109" s="56"/>
      <c r="DR109" s="30"/>
      <c r="DS109" s="45" t="str">
        <f>IF(DG109="", "", IF(DG109&gt;12, DE109+5, IF(DG109&lt;10, DE109-5, DE109)))</f>
        <v/>
      </c>
      <c r="DT109" s="32">
        <v>1</v>
      </c>
      <c r="DU109" s="32"/>
      <c r="DV109" s="35"/>
      <c r="DW109" s="86"/>
      <c r="DX109" s="35"/>
      <c r="DY109" s="45" t="str">
        <f>IF(DM109="", "", IF(DM109&gt;12, DK109+5, IF(DM109&lt;10, DK109-5, DK109)))</f>
        <v/>
      </c>
      <c r="DZ109" s="33">
        <v>1</v>
      </c>
      <c r="EA109" s="33"/>
      <c r="EB109" s="41"/>
      <c r="EC109" s="45" t="str">
        <f>IF(DQ108="", "", IF(DQ108&gt;12, DO108+2.5, IF(DQ108&lt;10, DO108-2.5, DO108)))</f>
        <v/>
      </c>
      <c r="ED109" s="56">
        <v>2</v>
      </c>
      <c r="EE109" s="56"/>
      <c r="EF109" s="30"/>
      <c r="EG109" s="45" t="str">
        <f>IF(DU109="", "", IF(DU109&gt;12, DS109+5, IF(DU109&lt;10, DS109-5, DS109)))</f>
        <v/>
      </c>
      <c r="EH109" s="32">
        <v>1</v>
      </c>
      <c r="EI109" s="32"/>
      <c r="EJ109" s="35"/>
      <c r="EK109" s="86"/>
      <c r="EL109" s="35"/>
      <c r="EM109" s="45" t="str">
        <f>IF(EA109="", "", IF(EA109&gt;12, DY109+5, IF(EA109&lt;10, DY109-5, DY109)))</f>
        <v/>
      </c>
      <c r="EN109" s="33">
        <v>1</v>
      </c>
      <c r="EO109" s="33"/>
      <c r="EP109" s="41"/>
      <c r="EQ109" s="45" t="str">
        <f>IF(EE108="", "", IF(EE108&gt;12, EC108+2.5, IF(EE108&lt;10, EC108-2.5, EC108)))</f>
        <v/>
      </c>
      <c r="ER109" s="56">
        <v>2</v>
      </c>
      <c r="ES109" s="56"/>
      <c r="ET109" s="30"/>
      <c r="EU109" s="45" t="str">
        <f>IF(EI109="", "", IF(EI109&gt;12, EG109+5, IF(EI109&lt;10, EG109-5, EG109)))</f>
        <v/>
      </c>
      <c r="EV109" s="32">
        <v>1</v>
      </c>
      <c r="EW109" s="32"/>
      <c r="EX109" s="35"/>
      <c r="EY109" s="86"/>
      <c r="EZ109" s="35"/>
      <c r="FA109" s="45" t="str">
        <f>IF(EO109="", "", IF(EO109&gt;12, EM109+5, IF(EO109&lt;10, EM109-5, EM109)))</f>
        <v/>
      </c>
      <c r="FB109" s="33">
        <v>1</v>
      </c>
      <c r="FC109" s="33"/>
      <c r="FD109" s="41"/>
      <c r="FE109" s="45" t="str">
        <f>IF(ES108="", "", IF(ES108&gt;12, EQ108+2.5, IF(ES108&lt;10, EQ108-2.5, EQ108)))</f>
        <v/>
      </c>
      <c r="FF109" s="56">
        <v>2</v>
      </c>
      <c r="FG109" s="56"/>
      <c r="FH109" s="30"/>
      <c r="FI109" s="45" t="str">
        <f>IF(EW109="", "", IF(EW109&gt;12, EU109+5, IF(EW109&lt;10, EU109-5, EU109)))</f>
        <v/>
      </c>
      <c r="FJ109" s="32">
        <v>1</v>
      </c>
      <c r="FK109" s="32"/>
      <c r="FL109" s="35"/>
      <c r="FM109" s="86"/>
    </row>
    <row r="110" spans="1:169" ht="15.75" customHeight="1">
      <c r="A110" s="86"/>
      <c r="C110" s="33"/>
      <c r="D110" s="33">
        <v>2</v>
      </c>
      <c r="E110" s="33"/>
      <c r="F110" s="41"/>
      <c r="G110" s="53"/>
      <c r="H110" s="53">
        <v>3</v>
      </c>
      <c r="I110" s="53"/>
      <c r="J110" s="40"/>
      <c r="K110" s="31"/>
      <c r="L110" s="32">
        <v>2</v>
      </c>
      <c r="M110" s="32"/>
      <c r="O110" s="86"/>
      <c r="Q110" s="45" t="str">
        <f>IF(E109="", "", IF(E109&gt;12, C109+5, IF(E109&lt;10, C109-5, C109)))</f>
        <v/>
      </c>
      <c r="R110" s="33">
        <v>2</v>
      </c>
      <c r="S110" s="33"/>
      <c r="T110" s="41"/>
      <c r="U110" s="45" t="str">
        <f>IF(I108="", "", IF(I108&gt;12, G108+2.5, IF(I108&lt;10, G108-2.5, G108)))</f>
        <v/>
      </c>
      <c r="V110" s="53">
        <v>3</v>
      </c>
      <c r="W110" s="53"/>
      <c r="X110" s="40"/>
      <c r="Y110" s="45" t="str">
        <f>IF(M109="", "", IF(M109&gt;12, K109+5, IF(M109&lt;10, K109-5, K109)))</f>
        <v/>
      </c>
      <c r="Z110" s="32">
        <v>2</v>
      </c>
      <c r="AA110" s="32"/>
      <c r="AC110" s="86"/>
      <c r="AD110" s="35"/>
      <c r="AE110" s="45" t="str">
        <f>IF(S109="", "", IF(S109&gt;12, Q109+5, IF(S109&lt;10, Q109-5, Q109)))</f>
        <v/>
      </c>
      <c r="AF110" s="33">
        <v>2</v>
      </c>
      <c r="AG110" s="33"/>
      <c r="AH110" s="41"/>
      <c r="AI110" s="45" t="str">
        <f>IF(W108="", "", IF(W108&gt;12, U108+2.5, IF(W108&lt;10, U108-2.5, U108)))</f>
        <v/>
      </c>
      <c r="AJ110" s="53">
        <v>3</v>
      </c>
      <c r="AK110" s="53"/>
      <c r="AL110" s="40"/>
      <c r="AM110" s="45" t="str">
        <f>IF(AA109="", "", IF(AA109&gt;12, Y109+5, IF(AA109&lt;10, Y109-5, Y109)))</f>
        <v/>
      </c>
      <c r="AN110" s="32">
        <v>2</v>
      </c>
      <c r="AO110" s="32"/>
      <c r="AP110" s="35"/>
      <c r="AQ110" s="86"/>
      <c r="AR110" s="35"/>
      <c r="AS110" s="45" t="str">
        <f>IF(AG109="", "", IF(AG109&gt;12, AE109+5, IF(AG109&lt;10, AE109-5, AE109)))</f>
        <v/>
      </c>
      <c r="AT110" s="33">
        <v>2</v>
      </c>
      <c r="AU110" s="33"/>
      <c r="AV110" s="41"/>
      <c r="AW110" s="45" t="str">
        <f>IF(AK108="", "", IF(AK108&gt;12, AI108+2.5, IF(AK108&lt;10, AI108-2.5, AI108)))</f>
        <v/>
      </c>
      <c r="AX110" s="53">
        <v>3</v>
      </c>
      <c r="AY110" s="53"/>
      <c r="AZ110" s="40"/>
      <c r="BA110" s="45" t="str">
        <f>IF(AO109="", "", IF(AO109&gt;12, AM109+5, IF(AO109&lt;10, AM109-5, AM109)))</f>
        <v/>
      </c>
      <c r="BB110" s="32">
        <v>2</v>
      </c>
      <c r="BC110" s="32"/>
      <c r="BD110" s="35"/>
      <c r="BE110" s="86"/>
      <c r="BF110" s="35"/>
      <c r="BG110" s="45" t="str">
        <f>IF(AU109="", "", IF(AU109&gt;12, AS109+5, IF(AU109&lt;10, AS109-5, AS109)))</f>
        <v/>
      </c>
      <c r="BH110" s="33">
        <v>2</v>
      </c>
      <c r="BI110" s="33"/>
      <c r="BJ110" s="41"/>
      <c r="BK110" s="45" t="str">
        <f>IF(AY108="", "", IF(AY108&gt;12, AW108+2.5, IF(AY108&lt;10, AW108-2.5, AW108)))</f>
        <v/>
      </c>
      <c r="BL110" s="53">
        <v>3</v>
      </c>
      <c r="BM110" s="53"/>
      <c r="BN110" s="40"/>
      <c r="BO110" s="45" t="str">
        <f>IF(BC109="", "", IF(BC109&gt;12, BA109+5, IF(BC109&lt;10, BA109-5, BA109)))</f>
        <v/>
      </c>
      <c r="BP110" s="32">
        <v>2</v>
      </c>
      <c r="BQ110" s="32"/>
      <c r="BR110" s="35"/>
      <c r="BS110" s="86"/>
      <c r="BT110" s="35"/>
      <c r="BU110" s="45" t="str">
        <f>IF(BI109="", "", IF(BI109&gt;12, BG109+5, IF(BI109&lt;10, BG109-5, BG109)))</f>
        <v/>
      </c>
      <c r="BV110" s="33">
        <v>2</v>
      </c>
      <c r="BW110" s="33"/>
      <c r="BX110" s="41"/>
      <c r="BY110" s="45" t="str">
        <f>IF(BM108="", "", IF(BM108&gt;12, BK108+2.5, IF(BM108&lt;10, BK108-2.5, BK108)))</f>
        <v/>
      </c>
      <c r="BZ110" s="53">
        <v>3</v>
      </c>
      <c r="CA110" s="53"/>
      <c r="CB110" s="40"/>
      <c r="CC110" s="45" t="str">
        <f>IF(BQ109="", "", IF(BQ109&gt;12, BO109+5, IF(BQ109&lt;10, BO109-5, BO109)))</f>
        <v/>
      </c>
      <c r="CD110" s="32">
        <v>2</v>
      </c>
      <c r="CE110" s="32"/>
      <c r="CF110" s="35"/>
      <c r="CG110" s="86"/>
      <c r="CH110" s="35"/>
      <c r="CI110" s="45" t="str">
        <f>IF(BW109="", "", IF(BW109&gt;12, BU109+5, IF(BW109&lt;10, BU109-5, BU109)))</f>
        <v/>
      </c>
      <c r="CJ110" s="33">
        <v>2</v>
      </c>
      <c r="CK110" s="33"/>
      <c r="CL110" s="41"/>
      <c r="CM110" s="45" t="str">
        <f>IF(CA108="", "", IF(CA108&gt;12, BY108+2.5, IF(CA108&lt;10, BY108-2.5, BY108)))</f>
        <v/>
      </c>
      <c r="CN110" s="53">
        <v>3</v>
      </c>
      <c r="CO110" s="53"/>
      <c r="CP110" s="40"/>
      <c r="CQ110" s="45" t="str">
        <f>IF(CE109="", "", IF(CE109&gt;12, CC109+5, IF(CE109&lt;10, CC109-5, CC109)))</f>
        <v/>
      </c>
      <c r="CR110" s="32">
        <v>2</v>
      </c>
      <c r="CS110" s="32"/>
      <c r="CT110" s="35"/>
      <c r="CU110" s="86"/>
      <c r="CV110" s="35"/>
      <c r="CW110" s="45" t="str">
        <f>IF(CK109="", "", IF(CK109&gt;12, CI109+5, IF(CK109&lt;10, CI109-5, CI109)))</f>
        <v/>
      </c>
      <c r="CX110" s="33">
        <v>2</v>
      </c>
      <c r="CY110" s="33"/>
      <c r="CZ110" s="41"/>
      <c r="DA110" s="45" t="str">
        <f>IF(CO108="", "", IF(CO108&gt;12, CM108+2.5, IF(CO108&lt;10, CM108-2.5, CM108)))</f>
        <v/>
      </c>
      <c r="DB110" s="53">
        <v>3</v>
      </c>
      <c r="DC110" s="53"/>
      <c r="DD110" s="40"/>
      <c r="DE110" s="45" t="str">
        <f>IF(CS109="", "", IF(CS109&gt;12, CQ109+5, IF(CS109&lt;10, CQ109-5, CQ109)))</f>
        <v/>
      </c>
      <c r="DF110" s="32">
        <v>2</v>
      </c>
      <c r="DG110" s="32"/>
      <c r="DH110" s="35"/>
      <c r="DI110" s="86"/>
      <c r="DJ110" s="35"/>
      <c r="DK110" s="45" t="str">
        <f>IF(CY109="", "", IF(CY109&gt;12, CW109+5, IF(CY109&lt;10, CW109-5, CW109)))</f>
        <v/>
      </c>
      <c r="DL110" s="33">
        <v>2</v>
      </c>
      <c r="DM110" s="33"/>
      <c r="DN110" s="41"/>
      <c r="DO110" s="45" t="str">
        <f>IF(DC108="", "", IF(DC108&gt;12, DA108+2.5, IF(DC108&lt;10, DA108-2.5, DA108)))</f>
        <v/>
      </c>
      <c r="DP110" s="53">
        <v>3</v>
      </c>
      <c r="DQ110" s="53"/>
      <c r="DR110" s="40"/>
      <c r="DS110" s="45" t="str">
        <f>IF(DG109="", "", IF(DG109&gt;12, DE109+5, IF(DG109&lt;10, DE109-5, DE109)))</f>
        <v/>
      </c>
      <c r="DT110" s="32">
        <v>2</v>
      </c>
      <c r="DU110" s="32"/>
      <c r="DV110" s="35"/>
      <c r="DW110" s="86"/>
      <c r="DX110" s="35"/>
      <c r="DY110" s="45" t="str">
        <f>IF(DM109="", "", IF(DM109&gt;12, DK109+5, IF(DM109&lt;10, DK109-5, DK109)))</f>
        <v/>
      </c>
      <c r="DZ110" s="33">
        <v>2</v>
      </c>
      <c r="EA110" s="33"/>
      <c r="EB110" s="41"/>
      <c r="EC110" s="45" t="str">
        <f>IF(DQ108="", "", IF(DQ108&gt;12, DO108+2.5, IF(DQ108&lt;10, DO108-2.5, DO108)))</f>
        <v/>
      </c>
      <c r="ED110" s="53">
        <v>3</v>
      </c>
      <c r="EE110" s="53"/>
      <c r="EF110" s="40"/>
      <c r="EG110" s="45" t="str">
        <f>IF(DU109="", "", IF(DU109&gt;12, DS109+5, IF(DU109&lt;10, DS109-5, DS109)))</f>
        <v/>
      </c>
      <c r="EH110" s="32">
        <v>2</v>
      </c>
      <c r="EI110" s="32"/>
      <c r="EJ110" s="35"/>
      <c r="EK110" s="86"/>
      <c r="EL110" s="35"/>
      <c r="EM110" s="45" t="str">
        <f>IF(EA109="", "", IF(EA109&gt;12, DY109+5, IF(EA109&lt;10, DY109-5, DY109)))</f>
        <v/>
      </c>
      <c r="EN110" s="33">
        <v>2</v>
      </c>
      <c r="EO110" s="33"/>
      <c r="EP110" s="41"/>
      <c r="EQ110" s="45" t="str">
        <f>IF(EE108="", "", IF(EE108&gt;12, EC108+2.5, IF(EE108&lt;10, EC108-2.5, EC108)))</f>
        <v/>
      </c>
      <c r="ER110" s="53">
        <v>3</v>
      </c>
      <c r="ES110" s="53"/>
      <c r="ET110" s="40"/>
      <c r="EU110" s="45" t="str">
        <f>IF(EI109="", "", IF(EI109&gt;12, EG109+5, IF(EI109&lt;10, EG109-5, EG109)))</f>
        <v/>
      </c>
      <c r="EV110" s="32">
        <v>2</v>
      </c>
      <c r="EW110" s="32"/>
      <c r="EX110" s="35"/>
      <c r="EY110" s="86"/>
      <c r="EZ110" s="35"/>
      <c r="FA110" s="45" t="str">
        <f>IF(EO109="", "", IF(EO109&gt;12, EM109+5, IF(EO109&lt;10, EM109-5, EM109)))</f>
        <v/>
      </c>
      <c r="FB110" s="33">
        <v>2</v>
      </c>
      <c r="FC110" s="33"/>
      <c r="FD110" s="41"/>
      <c r="FE110" s="45" t="str">
        <f>IF(ES108="", "", IF(ES108&gt;12, EQ108+2.5, IF(ES108&lt;10, EQ108-2.5, EQ108)))</f>
        <v/>
      </c>
      <c r="FF110" s="53">
        <v>3</v>
      </c>
      <c r="FG110" s="53"/>
      <c r="FH110" s="40"/>
      <c r="FI110" s="45" t="str">
        <f>IF(EW109="", "", IF(EW109&gt;12, EU109+5, IF(EW109&lt;10, EU109-5, EU109)))</f>
        <v/>
      </c>
      <c r="FJ110" s="32">
        <v>2</v>
      </c>
      <c r="FK110" s="32"/>
      <c r="FL110" s="35"/>
      <c r="FM110" s="86"/>
    </row>
    <row r="111" spans="1:169" ht="15.75" customHeight="1">
      <c r="A111" s="86"/>
      <c r="C111" s="33"/>
      <c r="D111" s="33">
        <v>3</v>
      </c>
      <c r="E111" s="33"/>
      <c r="F111" s="41"/>
      <c r="G111" s="41"/>
      <c r="H111" s="40"/>
      <c r="I111" s="40"/>
      <c r="J111" s="40"/>
      <c r="K111" s="31"/>
      <c r="L111" s="32"/>
      <c r="M111" s="32"/>
      <c r="O111" s="86"/>
      <c r="Q111" s="45" t="str">
        <f>IF(E109="", "", IF(E109&gt;12, C109+5, IF(E109&lt;10, C109-5, C109)))</f>
        <v/>
      </c>
      <c r="R111" s="33">
        <v>3</v>
      </c>
      <c r="S111" s="33"/>
      <c r="T111" s="41"/>
      <c r="U111" s="41"/>
      <c r="V111" s="40"/>
      <c r="W111" s="40"/>
      <c r="X111" s="40"/>
      <c r="Y111" s="45" t="str">
        <f>IF(M109="", "", IF(M109&gt;12, K109+5, IF(M109&lt;10, K109-5, K109)))</f>
        <v/>
      </c>
      <c r="Z111" s="32"/>
      <c r="AA111" s="32"/>
      <c r="AC111" s="86"/>
      <c r="AD111" s="35"/>
      <c r="AE111" s="45" t="str">
        <f>IF(S109="", "", IF(S109&gt;12, Q109+5, IF(S109&lt;10, Q109-5, Q109)))</f>
        <v/>
      </c>
      <c r="AF111" s="33">
        <v>3</v>
      </c>
      <c r="AG111" s="33"/>
      <c r="AH111" s="41"/>
      <c r="AI111" s="41"/>
      <c r="AJ111" s="40"/>
      <c r="AK111" s="40"/>
      <c r="AL111" s="40"/>
      <c r="AM111" s="45" t="str">
        <f>IF(AA109="", "", IF(AA109&gt;12, Y109+5, IF(AA109&lt;10, Y109-5, Y109)))</f>
        <v/>
      </c>
      <c r="AN111" s="32"/>
      <c r="AO111" s="32"/>
      <c r="AP111" s="35"/>
      <c r="AQ111" s="86"/>
      <c r="AR111" s="35"/>
      <c r="AS111" s="45" t="str">
        <f>IF(AG109="", "", IF(AG109&gt;12, AE109+5, IF(AG109&lt;10, AE109-5, AE109)))</f>
        <v/>
      </c>
      <c r="AT111" s="33">
        <v>3</v>
      </c>
      <c r="AU111" s="33"/>
      <c r="AV111" s="41"/>
      <c r="AW111" s="41"/>
      <c r="AX111" s="40"/>
      <c r="AY111" s="40"/>
      <c r="AZ111" s="40"/>
      <c r="BA111" s="45" t="str">
        <f>IF(AO109="", "", IF(AO109&gt;12, AM109+5, IF(AO109&lt;10, AM109-5, AM109)))</f>
        <v/>
      </c>
      <c r="BB111" s="32"/>
      <c r="BC111" s="32"/>
      <c r="BD111" s="35"/>
      <c r="BE111" s="86"/>
      <c r="BF111" s="35"/>
      <c r="BG111" s="45" t="str">
        <f>IF(AU109="", "", IF(AU109&gt;12, AS109+5, IF(AU109&lt;10, AS109-5, AS109)))</f>
        <v/>
      </c>
      <c r="BH111" s="33">
        <v>3</v>
      </c>
      <c r="BI111" s="33"/>
      <c r="BJ111" s="41"/>
      <c r="BK111" s="41"/>
      <c r="BL111" s="40"/>
      <c r="BM111" s="40"/>
      <c r="BN111" s="40"/>
      <c r="BO111" s="45" t="str">
        <f>IF(BC109="", "", IF(BC109&gt;12, BA109+5, IF(BC109&lt;10, BA109-5, BA109)))</f>
        <v/>
      </c>
      <c r="BP111" s="32"/>
      <c r="BQ111" s="32"/>
      <c r="BR111" s="35"/>
      <c r="BS111" s="86"/>
      <c r="BT111" s="35"/>
      <c r="BU111" s="45" t="str">
        <f>IF(BI109="", "", IF(BI109&gt;12, BG109+5, IF(BI109&lt;10, BG109-5, BG109)))</f>
        <v/>
      </c>
      <c r="BV111" s="33">
        <v>3</v>
      </c>
      <c r="BW111" s="33"/>
      <c r="BX111" s="41"/>
      <c r="BY111" s="41"/>
      <c r="BZ111" s="40"/>
      <c r="CA111" s="40"/>
      <c r="CB111" s="40"/>
      <c r="CC111" s="45" t="str">
        <f>IF(BQ109="", "", IF(BQ109&gt;12, BO109+5, IF(BQ109&lt;10, BO109-5, BO109)))</f>
        <v/>
      </c>
      <c r="CD111" s="32"/>
      <c r="CE111" s="32"/>
      <c r="CF111" s="35"/>
      <c r="CG111" s="86"/>
      <c r="CH111" s="35"/>
      <c r="CI111" s="45" t="str">
        <f>IF(BW109="", "", IF(BW109&gt;12, BU109+5, IF(BW109&lt;10, BU109-5, BU109)))</f>
        <v/>
      </c>
      <c r="CJ111" s="33">
        <v>3</v>
      </c>
      <c r="CK111" s="33"/>
      <c r="CL111" s="41"/>
      <c r="CM111" s="41"/>
      <c r="CN111" s="40"/>
      <c r="CO111" s="40"/>
      <c r="CP111" s="40"/>
      <c r="CQ111" s="45" t="str">
        <f>IF(CE109="", "", IF(CE109&gt;12, CC109+5, IF(CE109&lt;10, CC109-5, CC109)))</f>
        <v/>
      </c>
      <c r="CR111" s="32"/>
      <c r="CS111" s="32"/>
      <c r="CT111" s="35"/>
      <c r="CU111" s="86"/>
      <c r="CV111" s="35"/>
      <c r="CW111" s="45" t="str">
        <f>IF(CK109="", "", IF(CK109&gt;12, CI109+5, IF(CK109&lt;10, CI109-5, CI109)))</f>
        <v/>
      </c>
      <c r="CX111" s="33">
        <v>3</v>
      </c>
      <c r="CY111" s="33"/>
      <c r="CZ111" s="41"/>
      <c r="DA111" s="41"/>
      <c r="DB111" s="40"/>
      <c r="DC111" s="40"/>
      <c r="DD111" s="40"/>
      <c r="DE111" s="45" t="str">
        <f>IF(CS109="", "", IF(CS109&gt;12, CQ109+5, IF(CS109&lt;10, CQ109-5, CQ109)))</f>
        <v/>
      </c>
      <c r="DF111" s="32"/>
      <c r="DG111" s="32"/>
      <c r="DH111" s="35"/>
      <c r="DI111" s="86"/>
      <c r="DJ111" s="35"/>
      <c r="DK111" s="45" t="str">
        <f>IF(CY109="", "", IF(CY109&gt;12, CW109+5, IF(CY109&lt;10, CW109-5, CW109)))</f>
        <v/>
      </c>
      <c r="DL111" s="33">
        <v>3</v>
      </c>
      <c r="DM111" s="33"/>
      <c r="DN111" s="41"/>
      <c r="DO111" s="41"/>
      <c r="DP111" s="40"/>
      <c r="DQ111" s="40"/>
      <c r="DR111" s="40"/>
      <c r="DS111" s="45" t="str">
        <f>IF(DG109="", "", IF(DG109&gt;12, DE109+5, IF(DG109&lt;10, DE109-5, DE109)))</f>
        <v/>
      </c>
      <c r="DT111" s="32"/>
      <c r="DU111" s="32"/>
      <c r="DV111" s="35"/>
      <c r="DW111" s="86"/>
      <c r="DX111" s="35"/>
      <c r="DY111" s="45" t="str">
        <f>IF(DM109="", "", IF(DM109&gt;12, DK109+5, IF(DM109&lt;10, DK109-5, DK109)))</f>
        <v/>
      </c>
      <c r="DZ111" s="33">
        <v>3</v>
      </c>
      <c r="EA111" s="33"/>
      <c r="EB111" s="41"/>
      <c r="EC111" s="41"/>
      <c r="ED111" s="40"/>
      <c r="EE111" s="40"/>
      <c r="EF111" s="40"/>
      <c r="EG111" s="45" t="str">
        <f>IF(DU109="", "", IF(DU109&gt;12, DS109+5, IF(DU109&lt;10, DS109-5, DS109)))</f>
        <v/>
      </c>
      <c r="EH111" s="32"/>
      <c r="EI111" s="32"/>
      <c r="EJ111" s="35"/>
      <c r="EK111" s="86"/>
      <c r="EL111" s="35"/>
      <c r="EM111" s="45" t="str">
        <f>IF(EA109="", "", IF(EA109&gt;12, DY109+5, IF(EA109&lt;10, DY109-5, DY109)))</f>
        <v/>
      </c>
      <c r="EN111" s="33">
        <v>3</v>
      </c>
      <c r="EO111" s="33"/>
      <c r="EP111" s="41"/>
      <c r="EQ111" s="41"/>
      <c r="ER111" s="40"/>
      <c r="ES111" s="40"/>
      <c r="ET111" s="40"/>
      <c r="EU111" s="45" t="str">
        <f>IF(EI109="", "", IF(EI109&gt;12, EG109+5, IF(EI109&lt;10, EG109-5, EG109)))</f>
        <v/>
      </c>
      <c r="EV111" s="32"/>
      <c r="EW111" s="32"/>
      <c r="EX111" s="35"/>
      <c r="EY111" s="86"/>
      <c r="EZ111" s="35"/>
      <c r="FA111" s="45" t="str">
        <f>IF(EO109="", "", IF(EO109&gt;12, EM109+5, IF(EO109&lt;10, EM109-5, EM109)))</f>
        <v/>
      </c>
      <c r="FB111" s="33">
        <v>3</v>
      </c>
      <c r="FC111" s="33"/>
      <c r="FD111" s="41"/>
      <c r="FE111" s="41"/>
      <c r="FF111" s="40"/>
      <c r="FG111" s="40"/>
      <c r="FH111" s="40"/>
      <c r="FI111" s="45" t="str">
        <f>IF(EW109="", "", IF(EW109&gt;12, EU109+5, IF(EW109&lt;10, EU109-5, EU109)))</f>
        <v/>
      </c>
      <c r="FJ111" s="32"/>
      <c r="FK111" s="32"/>
      <c r="FL111" s="35"/>
      <c r="FM111" s="86"/>
    </row>
    <row r="112" spans="1:169" ht="15.75" customHeight="1">
      <c r="A112" s="86"/>
      <c r="B112" s="30"/>
      <c r="C112" s="28"/>
      <c r="D112" s="28"/>
      <c r="E112" s="28"/>
      <c r="F112" s="41"/>
      <c r="G112" s="66" t="s">
        <v>26</v>
      </c>
      <c r="H112" s="59"/>
      <c r="I112" s="59"/>
      <c r="J112" s="40"/>
      <c r="K112" s="79" t="s">
        <v>14</v>
      </c>
      <c r="L112" s="69"/>
      <c r="M112" s="69"/>
      <c r="O112" s="86"/>
      <c r="Q112" s="28"/>
      <c r="R112" s="28"/>
      <c r="S112" s="28"/>
      <c r="T112" s="41"/>
      <c r="U112" s="66" t="s">
        <v>26</v>
      </c>
      <c r="V112" s="59"/>
      <c r="W112" s="59"/>
      <c r="X112" s="40"/>
      <c r="Y112" s="79" t="s">
        <v>14</v>
      </c>
      <c r="Z112" s="69"/>
      <c r="AA112" s="69"/>
      <c r="AC112" s="86"/>
      <c r="AD112" s="35"/>
      <c r="AE112" s="28"/>
      <c r="AF112" s="28"/>
      <c r="AG112" s="28"/>
      <c r="AH112" s="41"/>
      <c r="AI112" s="66" t="s">
        <v>26</v>
      </c>
      <c r="AJ112" s="59"/>
      <c r="AK112" s="59"/>
      <c r="AL112" s="40"/>
      <c r="AM112" s="79" t="s">
        <v>14</v>
      </c>
      <c r="AN112" s="69"/>
      <c r="AO112" s="69"/>
      <c r="AP112" s="35"/>
      <c r="AQ112" s="86"/>
      <c r="AR112" s="35"/>
      <c r="AS112" s="28"/>
      <c r="AT112" s="28"/>
      <c r="AU112" s="28"/>
      <c r="AV112" s="41"/>
      <c r="AW112" s="66" t="s">
        <v>26</v>
      </c>
      <c r="AX112" s="59"/>
      <c r="AY112" s="59"/>
      <c r="AZ112" s="40"/>
      <c r="BA112" s="79" t="s">
        <v>14</v>
      </c>
      <c r="BB112" s="69"/>
      <c r="BC112" s="69"/>
      <c r="BD112" s="35"/>
      <c r="BE112" s="86"/>
      <c r="BF112" s="35"/>
      <c r="BG112" s="28"/>
      <c r="BH112" s="28"/>
      <c r="BI112" s="28"/>
      <c r="BJ112" s="41"/>
      <c r="BK112" s="66" t="s">
        <v>26</v>
      </c>
      <c r="BL112" s="59"/>
      <c r="BM112" s="59"/>
      <c r="BN112" s="40"/>
      <c r="BO112" s="79" t="s">
        <v>14</v>
      </c>
      <c r="BP112" s="69"/>
      <c r="BQ112" s="69"/>
      <c r="BR112" s="35"/>
      <c r="BS112" s="86"/>
      <c r="BT112" s="35"/>
      <c r="BU112" s="28"/>
      <c r="BV112" s="28"/>
      <c r="BW112" s="28"/>
      <c r="BX112" s="41"/>
      <c r="BY112" s="66" t="s">
        <v>26</v>
      </c>
      <c r="BZ112" s="59"/>
      <c r="CA112" s="59"/>
      <c r="CB112" s="40"/>
      <c r="CC112" s="79" t="s">
        <v>14</v>
      </c>
      <c r="CD112" s="69"/>
      <c r="CE112" s="69"/>
      <c r="CF112" s="35"/>
      <c r="CG112" s="86"/>
      <c r="CH112" s="35"/>
      <c r="CI112" s="28"/>
      <c r="CJ112" s="28"/>
      <c r="CK112" s="28"/>
      <c r="CL112" s="41"/>
      <c r="CM112" s="66" t="s">
        <v>26</v>
      </c>
      <c r="CN112" s="59"/>
      <c r="CO112" s="59"/>
      <c r="CP112" s="40"/>
      <c r="CQ112" s="79" t="s">
        <v>14</v>
      </c>
      <c r="CR112" s="69"/>
      <c r="CS112" s="69"/>
      <c r="CT112" s="35"/>
      <c r="CU112" s="86"/>
      <c r="CV112" s="35"/>
      <c r="CW112" s="28"/>
      <c r="CX112" s="28"/>
      <c r="CY112" s="28"/>
      <c r="CZ112" s="41"/>
      <c r="DA112" s="66" t="s">
        <v>26</v>
      </c>
      <c r="DB112" s="59"/>
      <c r="DC112" s="59"/>
      <c r="DD112" s="40"/>
      <c r="DE112" s="79" t="s">
        <v>14</v>
      </c>
      <c r="DF112" s="69"/>
      <c r="DG112" s="69"/>
      <c r="DH112" s="35"/>
      <c r="DI112" s="86"/>
      <c r="DJ112" s="35"/>
      <c r="DK112" s="28"/>
      <c r="DL112" s="28"/>
      <c r="DM112" s="28"/>
      <c r="DN112" s="41"/>
      <c r="DO112" s="66" t="s">
        <v>26</v>
      </c>
      <c r="DP112" s="59"/>
      <c r="DQ112" s="59"/>
      <c r="DR112" s="40"/>
      <c r="DS112" s="79" t="s">
        <v>14</v>
      </c>
      <c r="DT112" s="69"/>
      <c r="DU112" s="69"/>
      <c r="DV112" s="35"/>
      <c r="DW112" s="86"/>
      <c r="DX112" s="35"/>
      <c r="DY112" s="28"/>
      <c r="DZ112" s="28"/>
      <c r="EA112" s="28"/>
      <c r="EB112" s="41"/>
      <c r="EC112" s="66" t="s">
        <v>26</v>
      </c>
      <c r="ED112" s="59"/>
      <c r="EE112" s="59"/>
      <c r="EF112" s="40"/>
      <c r="EG112" s="79" t="s">
        <v>14</v>
      </c>
      <c r="EH112" s="69"/>
      <c r="EI112" s="69"/>
      <c r="EJ112" s="35"/>
      <c r="EK112" s="86"/>
      <c r="EL112" s="35"/>
      <c r="EM112" s="28"/>
      <c r="EN112" s="28"/>
      <c r="EO112" s="28"/>
      <c r="EP112" s="41"/>
      <c r="EQ112" s="66" t="s">
        <v>26</v>
      </c>
      <c r="ER112" s="59"/>
      <c r="ES112" s="59"/>
      <c r="ET112" s="40"/>
      <c r="EU112" s="79" t="s">
        <v>14</v>
      </c>
      <c r="EV112" s="69"/>
      <c r="EW112" s="69"/>
      <c r="EX112" s="35"/>
      <c r="EY112" s="86"/>
      <c r="EZ112" s="35"/>
      <c r="FA112" s="28"/>
      <c r="FB112" s="28"/>
      <c r="FC112" s="28"/>
      <c r="FD112" s="41"/>
      <c r="FE112" s="66" t="s">
        <v>26</v>
      </c>
      <c r="FF112" s="59"/>
      <c r="FG112" s="59"/>
      <c r="FH112" s="40"/>
      <c r="FI112" s="79" t="s">
        <v>14</v>
      </c>
      <c r="FJ112" s="69"/>
      <c r="FK112" s="69"/>
      <c r="FL112" s="35"/>
      <c r="FM112" s="86"/>
    </row>
    <row r="113" spans="1:169" ht="15.75" customHeight="1">
      <c r="A113" s="86"/>
      <c r="C113" s="65" t="s">
        <v>31</v>
      </c>
      <c r="D113" s="65"/>
      <c r="E113" s="65"/>
      <c r="F113" s="40"/>
      <c r="G113" s="39" t="s">
        <v>4</v>
      </c>
      <c r="H113" s="39" t="s">
        <v>38</v>
      </c>
      <c r="I113" s="39" t="s">
        <v>39</v>
      </c>
      <c r="J113" s="40"/>
      <c r="K113" s="31" t="s">
        <v>4</v>
      </c>
      <c r="L113" s="32" t="s">
        <v>38</v>
      </c>
      <c r="M113" s="32" t="s">
        <v>39</v>
      </c>
      <c r="O113" s="86"/>
      <c r="Q113" s="65" t="s">
        <v>31</v>
      </c>
      <c r="R113" s="65"/>
      <c r="S113" s="65"/>
      <c r="T113" s="40"/>
      <c r="U113" s="39" t="s">
        <v>4</v>
      </c>
      <c r="V113" s="39" t="s">
        <v>38</v>
      </c>
      <c r="W113" s="39" t="s">
        <v>39</v>
      </c>
      <c r="X113" s="40"/>
      <c r="Y113" s="31" t="s">
        <v>4</v>
      </c>
      <c r="Z113" s="32" t="s">
        <v>38</v>
      </c>
      <c r="AA113" s="32" t="s">
        <v>39</v>
      </c>
      <c r="AC113" s="86"/>
      <c r="AD113" s="35"/>
      <c r="AE113" s="65" t="s">
        <v>31</v>
      </c>
      <c r="AF113" s="65"/>
      <c r="AG113" s="65"/>
      <c r="AH113" s="40"/>
      <c r="AI113" s="39" t="s">
        <v>4</v>
      </c>
      <c r="AJ113" s="39" t="s">
        <v>38</v>
      </c>
      <c r="AK113" s="39" t="s">
        <v>39</v>
      </c>
      <c r="AL113" s="40"/>
      <c r="AM113" s="31" t="s">
        <v>4</v>
      </c>
      <c r="AN113" s="32" t="s">
        <v>38</v>
      </c>
      <c r="AO113" s="32" t="s">
        <v>39</v>
      </c>
      <c r="AP113" s="35"/>
      <c r="AQ113" s="86"/>
      <c r="AR113" s="35"/>
      <c r="AS113" s="65" t="s">
        <v>31</v>
      </c>
      <c r="AT113" s="65"/>
      <c r="AU113" s="65"/>
      <c r="AV113" s="40"/>
      <c r="AW113" s="39" t="s">
        <v>4</v>
      </c>
      <c r="AX113" s="39" t="s">
        <v>38</v>
      </c>
      <c r="AY113" s="39" t="s">
        <v>39</v>
      </c>
      <c r="AZ113" s="40"/>
      <c r="BA113" s="31" t="s">
        <v>4</v>
      </c>
      <c r="BB113" s="32" t="s">
        <v>38</v>
      </c>
      <c r="BC113" s="32" t="s">
        <v>39</v>
      </c>
      <c r="BD113" s="35"/>
      <c r="BE113" s="86"/>
      <c r="BF113" s="35"/>
      <c r="BG113" s="65" t="s">
        <v>31</v>
      </c>
      <c r="BH113" s="65"/>
      <c r="BI113" s="65"/>
      <c r="BJ113" s="40"/>
      <c r="BK113" s="39" t="s">
        <v>4</v>
      </c>
      <c r="BL113" s="39" t="s">
        <v>38</v>
      </c>
      <c r="BM113" s="39" t="s">
        <v>39</v>
      </c>
      <c r="BN113" s="40"/>
      <c r="BO113" s="31" t="s">
        <v>4</v>
      </c>
      <c r="BP113" s="32" t="s">
        <v>38</v>
      </c>
      <c r="BQ113" s="32" t="s">
        <v>39</v>
      </c>
      <c r="BR113" s="35"/>
      <c r="BS113" s="86"/>
      <c r="BT113" s="35"/>
      <c r="BU113" s="65" t="s">
        <v>31</v>
      </c>
      <c r="BV113" s="65"/>
      <c r="BW113" s="65"/>
      <c r="BX113" s="40"/>
      <c r="BY113" s="39" t="s">
        <v>4</v>
      </c>
      <c r="BZ113" s="39" t="s">
        <v>38</v>
      </c>
      <c r="CA113" s="39" t="s">
        <v>39</v>
      </c>
      <c r="CB113" s="40"/>
      <c r="CC113" s="31" t="s">
        <v>4</v>
      </c>
      <c r="CD113" s="32" t="s">
        <v>38</v>
      </c>
      <c r="CE113" s="32" t="s">
        <v>39</v>
      </c>
      <c r="CF113" s="35"/>
      <c r="CG113" s="86"/>
      <c r="CH113" s="35"/>
      <c r="CI113" s="65" t="s">
        <v>31</v>
      </c>
      <c r="CJ113" s="65"/>
      <c r="CK113" s="65"/>
      <c r="CL113" s="40"/>
      <c r="CM113" s="39" t="s">
        <v>4</v>
      </c>
      <c r="CN113" s="39" t="s">
        <v>38</v>
      </c>
      <c r="CO113" s="39" t="s">
        <v>39</v>
      </c>
      <c r="CP113" s="40"/>
      <c r="CQ113" s="31" t="s">
        <v>4</v>
      </c>
      <c r="CR113" s="32" t="s">
        <v>38</v>
      </c>
      <c r="CS113" s="32" t="s">
        <v>39</v>
      </c>
      <c r="CT113" s="35"/>
      <c r="CU113" s="86"/>
      <c r="CV113" s="35"/>
      <c r="CW113" s="65" t="s">
        <v>31</v>
      </c>
      <c r="CX113" s="65"/>
      <c r="CY113" s="65"/>
      <c r="CZ113" s="40"/>
      <c r="DA113" s="39" t="s">
        <v>4</v>
      </c>
      <c r="DB113" s="39" t="s">
        <v>38</v>
      </c>
      <c r="DC113" s="39" t="s">
        <v>39</v>
      </c>
      <c r="DD113" s="40"/>
      <c r="DE113" s="31" t="s">
        <v>4</v>
      </c>
      <c r="DF113" s="32" t="s">
        <v>38</v>
      </c>
      <c r="DG113" s="32" t="s">
        <v>39</v>
      </c>
      <c r="DH113" s="35"/>
      <c r="DI113" s="86"/>
      <c r="DJ113" s="35"/>
      <c r="DK113" s="65" t="s">
        <v>31</v>
      </c>
      <c r="DL113" s="65"/>
      <c r="DM113" s="65"/>
      <c r="DN113" s="40"/>
      <c r="DO113" s="39" t="s">
        <v>4</v>
      </c>
      <c r="DP113" s="39" t="s">
        <v>38</v>
      </c>
      <c r="DQ113" s="39" t="s">
        <v>39</v>
      </c>
      <c r="DR113" s="40"/>
      <c r="DS113" s="31" t="s">
        <v>4</v>
      </c>
      <c r="DT113" s="32" t="s">
        <v>38</v>
      </c>
      <c r="DU113" s="32" t="s">
        <v>39</v>
      </c>
      <c r="DV113" s="35"/>
      <c r="DW113" s="86"/>
      <c r="DX113" s="35"/>
      <c r="DY113" s="65" t="s">
        <v>31</v>
      </c>
      <c r="DZ113" s="65"/>
      <c r="EA113" s="65"/>
      <c r="EB113" s="40"/>
      <c r="EC113" s="39" t="s">
        <v>4</v>
      </c>
      <c r="ED113" s="39" t="s">
        <v>38</v>
      </c>
      <c r="EE113" s="39" t="s">
        <v>39</v>
      </c>
      <c r="EF113" s="40"/>
      <c r="EG113" s="31" t="s">
        <v>4</v>
      </c>
      <c r="EH113" s="32" t="s">
        <v>38</v>
      </c>
      <c r="EI113" s="32" t="s">
        <v>39</v>
      </c>
      <c r="EJ113" s="35"/>
      <c r="EK113" s="86"/>
      <c r="EL113" s="35"/>
      <c r="EM113" s="65" t="s">
        <v>31</v>
      </c>
      <c r="EN113" s="65"/>
      <c r="EO113" s="65"/>
      <c r="EP113" s="40"/>
      <c r="EQ113" s="39" t="s">
        <v>4</v>
      </c>
      <c r="ER113" s="39" t="s">
        <v>38</v>
      </c>
      <c r="ES113" s="39" t="s">
        <v>39</v>
      </c>
      <c r="ET113" s="40"/>
      <c r="EU113" s="31" t="s">
        <v>4</v>
      </c>
      <c r="EV113" s="32" t="s">
        <v>38</v>
      </c>
      <c r="EW113" s="32" t="s">
        <v>39</v>
      </c>
      <c r="EX113" s="35"/>
      <c r="EY113" s="86"/>
      <c r="EZ113" s="35"/>
      <c r="FA113" s="65" t="s">
        <v>31</v>
      </c>
      <c r="FB113" s="65"/>
      <c r="FC113" s="65"/>
      <c r="FD113" s="40"/>
      <c r="FE113" s="39" t="s">
        <v>4</v>
      </c>
      <c r="FF113" s="39" t="s">
        <v>38</v>
      </c>
      <c r="FG113" s="39" t="s">
        <v>39</v>
      </c>
      <c r="FH113" s="40"/>
      <c r="FI113" s="31" t="s">
        <v>4</v>
      </c>
      <c r="FJ113" s="32" t="s">
        <v>38</v>
      </c>
      <c r="FK113" s="32" t="s">
        <v>39</v>
      </c>
      <c r="FL113" s="35"/>
      <c r="FM113" s="86"/>
    </row>
    <row r="114" spans="1:169" ht="15.75" customHeight="1">
      <c r="A114" s="86"/>
      <c r="B114" s="30"/>
      <c r="C114" s="31" t="s">
        <v>4</v>
      </c>
      <c r="D114" s="32" t="s">
        <v>38</v>
      </c>
      <c r="E114" s="32" t="s">
        <v>39</v>
      </c>
      <c r="F114" s="30" t="str">
        <f>"берем около " &amp; INT(0.6*F38)&amp; "кг"</f>
        <v>берем около 0кг</v>
      </c>
      <c r="G114" s="39"/>
      <c r="H114" s="39">
        <v>1</v>
      </c>
      <c r="I114" s="39"/>
      <c r="J114" s="30" t="str">
        <f>"берем около " &amp; INT(0.6*F52)&amp; "кг"</f>
        <v>берем около 0кг</v>
      </c>
      <c r="K114" s="31"/>
      <c r="L114" s="32">
        <v>1</v>
      </c>
      <c r="M114" s="32"/>
      <c r="O114" s="86"/>
      <c r="Q114" s="31" t="s">
        <v>4</v>
      </c>
      <c r="R114" s="32" t="s">
        <v>38</v>
      </c>
      <c r="S114" s="32" t="s">
        <v>39</v>
      </c>
      <c r="T114" s="30"/>
      <c r="U114" s="45" t="str">
        <f>IF(I114="", "", IF(I114&gt;12, G114+2.5, IF(I114&lt;10, G114-2.5, G114)))</f>
        <v/>
      </c>
      <c r="V114" s="39">
        <v>1</v>
      </c>
      <c r="W114" s="39"/>
      <c r="X114" s="40"/>
      <c r="Y114" s="45" t="str">
        <f>IF(M114="", "", IF(M114&gt;12, K114+5, IF(M114&lt;10, K114-5, K114)))</f>
        <v/>
      </c>
      <c r="Z114" s="32">
        <v>1</v>
      </c>
      <c r="AA114" s="32"/>
      <c r="AC114" s="86"/>
      <c r="AD114" s="35"/>
      <c r="AE114" s="31" t="s">
        <v>4</v>
      </c>
      <c r="AF114" s="32" t="s">
        <v>38</v>
      </c>
      <c r="AG114" s="32" t="s">
        <v>39</v>
      </c>
      <c r="AH114" s="30"/>
      <c r="AI114" s="45" t="str">
        <f>IF(W114="", "", IF(W114&gt;12, U114+2.5, IF(W114&lt;10, U114-2.5, U114)))</f>
        <v/>
      </c>
      <c r="AJ114" s="39">
        <v>1</v>
      </c>
      <c r="AK114" s="39"/>
      <c r="AL114" s="40"/>
      <c r="AM114" s="45" t="str">
        <f>IF(AA114="", "", IF(AA114&gt;12, Y114+5, IF(AA114&lt;10, Y114-5, Y114)))</f>
        <v/>
      </c>
      <c r="AN114" s="32">
        <v>1</v>
      </c>
      <c r="AO114" s="32"/>
      <c r="AP114" s="35"/>
      <c r="AQ114" s="86"/>
      <c r="AR114" s="35"/>
      <c r="AS114" s="31" t="s">
        <v>4</v>
      </c>
      <c r="AT114" s="32" t="s">
        <v>38</v>
      </c>
      <c r="AU114" s="32" t="s">
        <v>39</v>
      </c>
      <c r="AV114" s="30"/>
      <c r="AW114" s="45" t="str">
        <f>IF(AK114="", "", IF(AK114&gt;12, AI114+2.5, IF(AK114&lt;10, AI114-2.5, AI114)))</f>
        <v/>
      </c>
      <c r="AX114" s="39">
        <v>1</v>
      </c>
      <c r="AY114" s="39"/>
      <c r="AZ114" s="40"/>
      <c r="BA114" s="45" t="str">
        <f>IF(AO114="", "", IF(AO114&gt;12, AM114+5, IF(AO114&lt;10, AM114-5, AM114)))</f>
        <v/>
      </c>
      <c r="BB114" s="32">
        <v>1</v>
      </c>
      <c r="BC114" s="32"/>
      <c r="BD114" s="35"/>
      <c r="BE114" s="86"/>
      <c r="BF114" s="35"/>
      <c r="BG114" s="31" t="s">
        <v>4</v>
      </c>
      <c r="BH114" s="32" t="s">
        <v>38</v>
      </c>
      <c r="BI114" s="32" t="s">
        <v>39</v>
      </c>
      <c r="BJ114" s="30"/>
      <c r="BK114" s="45" t="str">
        <f>IF(AY114="", "", IF(AY114&gt;12, AW114+2.5, IF(AY114&lt;10, AW114-2.5, AW114)))</f>
        <v/>
      </c>
      <c r="BL114" s="39">
        <v>1</v>
      </c>
      <c r="BM114" s="39"/>
      <c r="BN114" s="40"/>
      <c r="BO114" s="45" t="str">
        <f>IF(BC114="", "", IF(BC114&gt;12, BA114+5, IF(BC114&lt;10, BA114-5, BA114)))</f>
        <v/>
      </c>
      <c r="BP114" s="32">
        <v>1</v>
      </c>
      <c r="BQ114" s="32"/>
      <c r="BR114" s="35"/>
      <c r="BS114" s="86"/>
      <c r="BT114" s="35"/>
      <c r="BU114" s="31" t="s">
        <v>4</v>
      </c>
      <c r="BV114" s="32" t="s">
        <v>38</v>
      </c>
      <c r="BW114" s="32" t="s">
        <v>39</v>
      </c>
      <c r="BX114" s="30"/>
      <c r="BY114" s="45" t="str">
        <f>IF(BM114="", "", IF(BM114&gt;12, BK114+2.5, IF(BM114&lt;10, BK114-2.5, BK114)))</f>
        <v/>
      </c>
      <c r="BZ114" s="39">
        <v>1</v>
      </c>
      <c r="CA114" s="39"/>
      <c r="CB114" s="40"/>
      <c r="CC114" s="45" t="str">
        <f>IF(BQ114="", "", IF(BQ114&gt;12, BO114+5, IF(BQ114&lt;10, BO114-5, BO114)))</f>
        <v/>
      </c>
      <c r="CD114" s="32">
        <v>1</v>
      </c>
      <c r="CE114" s="32"/>
      <c r="CF114" s="35"/>
      <c r="CG114" s="86"/>
      <c r="CH114" s="35"/>
      <c r="CI114" s="31" t="s">
        <v>4</v>
      </c>
      <c r="CJ114" s="32" t="s">
        <v>38</v>
      </c>
      <c r="CK114" s="32" t="s">
        <v>39</v>
      </c>
      <c r="CL114" s="30"/>
      <c r="CM114" s="45" t="str">
        <f>IF(CA114="", "", IF(CA114&gt;12, BY114+2.5, IF(CA114&lt;10, BY114-2.5, BY114)))</f>
        <v/>
      </c>
      <c r="CN114" s="39">
        <v>1</v>
      </c>
      <c r="CO114" s="39"/>
      <c r="CP114" s="40"/>
      <c r="CQ114" s="45" t="str">
        <f>IF(CE114="", "", IF(CE114&gt;12, CC114+5, IF(CE114&lt;10, CC114-5, CC114)))</f>
        <v/>
      </c>
      <c r="CR114" s="32">
        <v>1</v>
      </c>
      <c r="CS114" s="32"/>
      <c r="CT114" s="35"/>
      <c r="CU114" s="86"/>
      <c r="CV114" s="35"/>
      <c r="CW114" s="31" t="s">
        <v>4</v>
      </c>
      <c r="CX114" s="32" t="s">
        <v>38</v>
      </c>
      <c r="CY114" s="32" t="s">
        <v>39</v>
      </c>
      <c r="CZ114" s="30"/>
      <c r="DA114" s="45" t="str">
        <f>IF(CO114="", "", IF(CO114&gt;12, CM114+2.5, IF(CO114&lt;10, CM114-2.5, CM114)))</f>
        <v/>
      </c>
      <c r="DB114" s="39">
        <v>1</v>
      </c>
      <c r="DC114" s="39"/>
      <c r="DD114" s="40"/>
      <c r="DE114" s="45" t="str">
        <f>IF(CS114="", "", IF(CS114&gt;12, CQ114+5, IF(CS114&lt;10, CQ114-5, CQ114)))</f>
        <v/>
      </c>
      <c r="DF114" s="32">
        <v>1</v>
      </c>
      <c r="DG114" s="32"/>
      <c r="DH114" s="35"/>
      <c r="DI114" s="86"/>
      <c r="DJ114" s="35"/>
      <c r="DK114" s="31" t="s">
        <v>4</v>
      </c>
      <c r="DL114" s="32" t="s">
        <v>38</v>
      </c>
      <c r="DM114" s="32" t="s">
        <v>39</v>
      </c>
      <c r="DN114" s="30"/>
      <c r="DO114" s="45" t="str">
        <f>IF(DC114="", "", IF(DC114&gt;12, DA114+2.5, IF(DC114&lt;10, DA114-2.5, DA114)))</f>
        <v/>
      </c>
      <c r="DP114" s="39">
        <v>1</v>
      </c>
      <c r="DQ114" s="39"/>
      <c r="DR114" s="40"/>
      <c r="DS114" s="45" t="str">
        <f>IF(DG114="", "", IF(DG114&gt;12, DE114+5, IF(DG114&lt;10, DE114-5, DE114)))</f>
        <v/>
      </c>
      <c r="DT114" s="32">
        <v>1</v>
      </c>
      <c r="DU114" s="32"/>
      <c r="DV114" s="35"/>
      <c r="DW114" s="86"/>
      <c r="DX114" s="35"/>
      <c r="DY114" s="31" t="s">
        <v>4</v>
      </c>
      <c r="DZ114" s="32" t="s">
        <v>38</v>
      </c>
      <c r="EA114" s="32" t="s">
        <v>39</v>
      </c>
      <c r="EB114" s="30"/>
      <c r="EC114" s="45" t="str">
        <f>IF(DQ114="", "", IF(DQ114&gt;12, DO114+2.5, IF(DQ114&lt;10, DO114-2.5, DO114)))</f>
        <v/>
      </c>
      <c r="ED114" s="39">
        <v>1</v>
      </c>
      <c r="EE114" s="39"/>
      <c r="EF114" s="40"/>
      <c r="EG114" s="45" t="str">
        <f>IF(DU114="", "", IF(DU114&gt;12, DS114+5, IF(DU114&lt;10, DS114-5, DS114)))</f>
        <v/>
      </c>
      <c r="EH114" s="32">
        <v>1</v>
      </c>
      <c r="EI114" s="32"/>
      <c r="EJ114" s="35"/>
      <c r="EK114" s="86"/>
      <c r="EL114" s="35"/>
      <c r="EM114" s="31" t="s">
        <v>4</v>
      </c>
      <c r="EN114" s="32" t="s">
        <v>38</v>
      </c>
      <c r="EO114" s="32" t="s">
        <v>39</v>
      </c>
      <c r="EP114" s="30"/>
      <c r="EQ114" s="45" t="str">
        <f>IF(EE114="", "", IF(EE114&gt;12, EC114+2.5, IF(EE114&lt;10, EC114-2.5, EC114)))</f>
        <v/>
      </c>
      <c r="ER114" s="39">
        <v>1</v>
      </c>
      <c r="ES114" s="39"/>
      <c r="ET114" s="40"/>
      <c r="EU114" s="45" t="str">
        <f>IF(EI114="", "", IF(EI114&gt;12, EG114+5, IF(EI114&lt;10, EG114-5, EG114)))</f>
        <v/>
      </c>
      <c r="EV114" s="32">
        <v>1</v>
      </c>
      <c r="EW114" s="32"/>
      <c r="EX114" s="35"/>
      <c r="EY114" s="86"/>
      <c r="EZ114" s="35"/>
      <c r="FA114" s="31" t="s">
        <v>4</v>
      </c>
      <c r="FB114" s="32" t="s">
        <v>38</v>
      </c>
      <c r="FC114" s="32" t="s">
        <v>39</v>
      </c>
      <c r="FD114" s="30"/>
      <c r="FE114" s="45" t="str">
        <f>IF(ES114="", "", IF(ES114&gt;12, EQ114+2.5, IF(ES114&lt;10, EQ114-2.5, EQ114)))</f>
        <v/>
      </c>
      <c r="FF114" s="39">
        <v>1</v>
      </c>
      <c r="FG114" s="39"/>
      <c r="FH114" s="40"/>
      <c r="FI114" s="45" t="str">
        <f>IF(EW114="", "", IF(EW114&gt;12, EU114+5, IF(EW114&lt;10, EU114-5, EU114)))</f>
        <v/>
      </c>
      <c r="FJ114" s="32">
        <v>1</v>
      </c>
      <c r="FK114" s="32"/>
      <c r="FL114" s="35"/>
      <c r="FM114" s="86"/>
    </row>
    <row r="115" spans="1:169" ht="15.75" customHeight="1">
      <c r="A115" s="86"/>
      <c r="B115" s="30" t="str">
        <f>"берем около " &amp; INT(0.6*F22)&amp; "кг"</f>
        <v>берем около 0кг</v>
      </c>
      <c r="C115" s="31"/>
      <c r="D115" s="32">
        <v>1</v>
      </c>
      <c r="E115" s="32"/>
      <c r="F115" s="41"/>
      <c r="G115" s="39"/>
      <c r="H115" s="39">
        <v>2</v>
      </c>
      <c r="I115" s="39"/>
      <c r="J115" s="30"/>
      <c r="K115" s="31"/>
      <c r="L115" s="32">
        <v>2</v>
      </c>
      <c r="M115" s="32"/>
      <c r="O115" s="86"/>
      <c r="Q115" s="45" t="str">
        <f>IF(E115="", "", IF(E115&gt;12, C115+2.5, IF(E115&lt;10, C115-2.5, C115)))</f>
        <v/>
      </c>
      <c r="R115" s="32">
        <v>1</v>
      </c>
      <c r="S115" s="32"/>
      <c r="T115" s="41"/>
      <c r="U115" s="45" t="str">
        <f>IF(I114="", "", IF(I114&gt;12, G114+2.5, IF(I114&lt;10, G114-2.5, G114)))</f>
        <v/>
      </c>
      <c r="V115" s="39">
        <v>2</v>
      </c>
      <c r="W115" s="39"/>
      <c r="X115" s="30"/>
      <c r="Y115" s="45" t="str">
        <f>IF(M114="", "", IF(M114&gt;12, K114+5, IF(M114&lt;10, K114-5, K114)))</f>
        <v/>
      </c>
      <c r="Z115" s="32">
        <v>2</v>
      </c>
      <c r="AA115" s="32"/>
      <c r="AC115" s="86"/>
      <c r="AD115" s="35"/>
      <c r="AE115" s="45" t="str">
        <f>IF(S115="", "", IF(S115&gt;12, Q115+2.5, IF(S115&lt;10, Q115-2.5, Q115)))</f>
        <v/>
      </c>
      <c r="AF115" s="32">
        <v>1</v>
      </c>
      <c r="AG115" s="32"/>
      <c r="AH115" s="41"/>
      <c r="AI115" s="45" t="str">
        <f>IF(W114="", "", IF(W114&gt;12, U114+2.5, IF(W114&lt;10, U114-2.5, U114)))</f>
        <v/>
      </c>
      <c r="AJ115" s="39">
        <v>2</v>
      </c>
      <c r="AK115" s="39"/>
      <c r="AL115" s="30"/>
      <c r="AM115" s="45" t="str">
        <f>IF(AA114="", "", IF(AA114&gt;12, Y114+5, IF(AA114&lt;10, Y114-5, Y114)))</f>
        <v/>
      </c>
      <c r="AN115" s="32">
        <v>2</v>
      </c>
      <c r="AO115" s="32"/>
      <c r="AP115" s="35"/>
      <c r="AQ115" s="86"/>
      <c r="AR115" s="35"/>
      <c r="AS115" s="45" t="str">
        <f>IF(AG115="", "", IF(AG115&gt;12, AE115+2.5, IF(AG115&lt;10, AE115-2.5, AE115)))</f>
        <v/>
      </c>
      <c r="AT115" s="32">
        <v>1</v>
      </c>
      <c r="AU115" s="32"/>
      <c r="AV115" s="41"/>
      <c r="AW115" s="45" t="str">
        <f>IF(AK114="", "", IF(AK114&gt;12, AI114+2.5, IF(AK114&lt;10, AI114-2.5, AI114)))</f>
        <v/>
      </c>
      <c r="AX115" s="39">
        <v>2</v>
      </c>
      <c r="AY115" s="39"/>
      <c r="AZ115" s="30"/>
      <c r="BA115" s="45" t="str">
        <f>IF(AO114="", "", IF(AO114&gt;12, AM114+5, IF(AO114&lt;10, AM114-5, AM114)))</f>
        <v/>
      </c>
      <c r="BB115" s="32">
        <v>2</v>
      </c>
      <c r="BC115" s="32"/>
      <c r="BD115" s="35"/>
      <c r="BE115" s="86"/>
      <c r="BF115" s="35"/>
      <c r="BG115" s="45" t="str">
        <f>IF(AU115="", "", IF(AU115&gt;12, AS115+2.5, IF(AU115&lt;10, AS115-2.5, AS115)))</f>
        <v/>
      </c>
      <c r="BH115" s="32">
        <v>1</v>
      </c>
      <c r="BI115" s="32"/>
      <c r="BJ115" s="41"/>
      <c r="BK115" s="45" t="str">
        <f>IF(AY114="", "", IF(AY114&gt;12, AW114+2.5, IF(AY114&lt;10, AW114-2.5, AW114)))</f>
        <v/>
      </c>
      <c r="BL115" s="39">
        <v>2</v>
      </c>
      <c r="BM115" s="39"/>
      <c r="BN115" s="30"/>
      <c r="BO115" s="45" t="str">
        <f>IF(BC114="", "", IF(BC114&gt;12, BA114+5, IF(BC114&lt;10, BA114-5, BA114)))</f>
        <v/>
      </c>
      <c r="BP115" s="32">
        <v>2</v>
      </c>
      <c r="BQ115" s="32"/>
      <c r="BR115" s="35"/>
      <c r="BS115" s="86"/>
      <c r="BT115" s="35"/>
      <c r="BU115" s="45" t="str">
        <f>IF(BI115="", "", IF(BI115&gt;12, BG115+2.5, IF(BI115&lt;10, BG115-2.5, BG115)))</f>
        <v/>
      </c>
      <c r="BV115" s="32">
        <v>1</v>
      </c>
      <c r="BW115" s="32"/>
      <c r="BX115" s="41"/>
      <c r="BY115" s="45" t="str">
        <f>IF(BM114="", "", IF(BM114&gt;12, BK114+2.5, IF(BM114&lt;10, BK114-2.5, BK114)))</f>
        <v/>
      </c>
      <c r="BZ115" s="39">
        <v>2</v>
      </c>
      <c r="CA115" s="39"/>
      <c r="CB115" s="30"/>
      <c r="CC115" s="45" t="str">
        <f>IF(BQ114="", "", IF(BQ114&gt;12, BO114+5, IF(BQ114&lt;10, BO114-5, BO114)))</f>
        <v/>
      </c>
      <c r="CD115" s="32">
        <v>2</v>
      </c>
      <c r="CE115" s="32"/>
      <c r="CF115" s="35"/>
      <c r="CG115" s="86"/>
      <c r="CH115" s="35"/>
      <c r="CI115" s="45" t="str">
        <f>IF(BW115="", "", IF(BW115&gt;12, BU115+2.5, IF(BW115&lt;10, BU115-2.5, BU115)))</f>
        <v/>
      </c>
      <c r="CJ115" s="32">
        <v>1</v>
      </c>
      <c r="CK115" s="32"/>
      <c r="CL115" s="41"/>
      <c r="CM115" s="45" t="str">
        <f>IF(CA114="", "", IF(CA114&gt;12, BY114+2.5, IF(CA114&lt;10, BY114-2.5, BY114)))</f>
        <v/>
      </c>
      <c r="CN115" s="39">
        <v>2</v>
      </c>
      <c r="CO115" s="39"/>
      <c r="CP115" s="30"/>
      <c r="CQ115" s="45" t="str">
        <f>IF(CE114="", "", IF(CE114&gt;12, CC114+5, IF(CE114&lt;10, CC114-5, CC114)))</f>
        <v/>
      </c>
      <c r="CR115" s="32">
        <v>2</v>
      </c>
      <c r="CS115" s="32"/>
      <c r="CT115" s="35"/>
      <c r="CU115" s="86"/>
      <c r="CV115" s="35"/>
      <c r="CW115" s="45" t="str">
        <f>IF(CK115="", "", IF(CK115&gt;12, CI115+2.5, IF(CK115&lt;10, CI115-2.5, CI115)))</f>
        <v/>
      </c>
      <c r="CX115" s="32">
        <v>1</v>
      </c>
      <c r="CY115" s="32"/>
      <c r="CZ115" s="41"/>
      <c r="DA115" s="45" t="str">
        <f>IF(CO114="", "", IF(CO114&gt;12, CM114+2.5, IF(CO114&lt;10, CM114-2.5, CM114)))</f>
        <v/>
      </c>
      <c r="DB115" s="39">
        <v>2</v>
      </c>
      <c r="DC115" s="39"/>
      <c r="DD115" s="30"/>
      <c r="DE115" s="45" t="str">
        <f>IF(CS114="", "", IF(CS114&gt;12, CQ114+5, IF(CS114&lt;10, CQ114-5, CQ114)))</f>
        <v/>
      </c>
      <c r="DF115" s="32">
        <v>2</v>
      </c>
      <c r="DG115" s="32"/>
      <c r="DH115" s="35"/>
      <c r="DI115" s="86"/>
      <c r="DJ115" s="35"/>
      <c r="DK115" s="45" t="str">
        <f>IF(CY115="", "", IF(CY115&gt;12, CW115+2.5, IF(CY115&lt;10, CW115-2.5, CW115)))</f>
        <v/>
      </c>
      <c r="DL115" s="32">
        <v>1</v>
      </c>
      <c r="DM115" s="32"/>
      <c r="DN115" s="41"/>
      <c r="DO115" s="45" t="str">
        <f>IF(DC114="", "", IF(DC114&gt;12, DA114+2.5, IF(DC114&lt;10, DA114-2.5, DA114)))</f>
        <v/>
      </c>
      <c r="DP115" s="39">
        <v>2</v>
      </c>
      <c r="DQ115" s="39"/>
      <c r="DR115" s="30"/>
      <c r="DS115" s="45" t="str">
        <f>IF(DG114="", "", IF(DG114&gt;12, DE114+5, IF(DG114&lt;10, DE114-5, DE114)))</f>
        <v/>
      </c>
      <c r="DT115" s="32">
        <v>2</v>
      </c>
      <c r="DU115" s="32"/>
      <c r="DV115" s="35"/>
      <c r="DW115" s="86"/>
      <c r="DX115" s="35"/>
      <c r="DY115" s="45" t="str">
        <f>IF(DM115="", "", IF(DM115&gt;12, DK115+2.5, IF(DM115&lt;10, DK115-2.5, DK115)))</f>
        <v/>
      </c>
      <c r="DZ115" s="32">
        <v>1</v>
      </c>
      <c r="EA115" s="32"/>
      <c r="EB115" s="41"/>
      <c r="EC115" s="45" t="str">
        <f>IF(DQ114="", "", IF(DQ114&gt;12, DO114+2.5, IF(DQ114&lt;10, DO114-2.5, DO114)))</f>
        <v/>
      </c>
      <c r="ED115" s="39">
        <v>2</v>
      </c>
      <c r="EE115" s="39"/>
      <c r="EF115" s="30"/>
      <c r="EG115" s="45" t="str">
        <f>IF(DU114="", "", IF(DU114&gt;12, DS114+5, IF(DU114&lt;10, DS114-5, DS114)))</f>
        <v/>
      </c>
      <c r="EH115" s="32">
        <v>2</v>
      </c>
      <c r="EI115" s="32"/>
      <c r="EJ115" s="35"/>
      <c r="EK115" s="86"/>
      <c r="EL115" s="35"/>
      <c r="EM115" s="45" t="str">
        <f>IF(EA115="", "", IF(EA115&gt;12, DY115+2.5, IF(EA115&lt;10, DY115-2.5, DY115)))</f>
        <v/>
      </c>
      <c r="EN115" s="32">
        <v>1</v>
      </c>
      <c r="EO115" s="32"/>
      <c r="EP115" s="41"/>
      <c r="EQ115" s="45" t="str">
        <f>IF(EE114="", "", IF(EE114&gt;12, EC114+2.5, IF(EE114&lt;10, EC114-2.5, EC114)))</f>
        <v/>
      </c>
      <c r="ER115" s="39">
        <v>2</v>
      </c>
      <c r="ES115" s="39"/>
      <c r="ET115" s="30"/>
      <c r="EU115" s="45" t="str">
        <f>IF(EI114="", "", IF(EI114&gt;12, EG114+5, IF(EI114&lt;10, EG114-5, EG114)))</f>
        <v/>
      </c>
      <c r="EV115" s="32">
        <v>2</v>
      </c>
      <c r="EW115" s="32"/>
      <c r="EX115" s="35"/>
      <c r="EY115" s="86"/>
      <c r="EZ115" s="35"/>
      <c r="FA115" s="45" t="str">
        <f>IF(EO115="", "", IF(EO115&gt;12, EM115+2.5, IF(EO115&lt;10, EM115-2.5, EM115)))</f>
        <v/>
      </c>
      <c r="FB115" s="32">
        <v>1</v>
      </c>
      <c r="FC115" s="32"/>
      <c r="FD115" s="41"/>
      <c r="FE115" s="45" t="str">
        <f>IF(ES114="", "", IF(ES114&gt;12, EQ114+2.5, IF(ES114&lt;10, EQ114-2.5, EQ114)))</f>
        <v/>
      </c>
      <c r="FF115" s="39">
        <v>2</v>
      </c>
      <c r="FG115" s="39"/>
      <c r="FH115" s="30"/>
      <c r="FI115" s="45" t="str">
        <f>IF(EW114="", "", IF(EW114&gt;12, EU114+5, IF(EW114&lt;10, EU114-5, EU114)))</f>
        <v/>
      </c>
      <c r="FJ115" s="32">
        <v>2</v>
      </c>
      <c r="FK115" s="32"/>
      <c r="FL115" s="35"/>
      <c r="FM115" s="86"/>
    </row>
    <row r="116" spans="1:169" ht="15.75" customHeight="1">
      <c r="A116" s="86"/>
      <c r="C116" s="31"/>
      <c r="D116" s="32">
        <v>2</v>
      </c>
      <c r="E116" s="32"/>
      <c r="F116" s="41"/>
      <c r="G116" s="39"/>
      <c r="H116" s="39">
        <v>3</v>
      </c>
      <c r="I116" s="39"/>
      <c r="J116" s="40"/>
      <c r="K116" s="31"/>
      <c r="L116" s="32"/>
      <c r="M116" s="32"/>
      <c r="O116" s="86"/>
      <c r="Q116" s="45" t="str">
        <f>IF(E115="", "", IF(E115&gt;12, C115+2.5, IF(E115&lt;10, C115-2.5, C115)))</f>
        <v/>
      </c>
      <c r="R116" s="32">
        <v>2</v>
      </c>
      <c r="S116" s="32"/>
      <c r="T116" s="41"/>
      <c r="U116" s="45" t="str">
        <f>IF(I114="", "", IF(I114&gt;12, G114+2.5, IF(I114&lt;10, G114-2.5, G114)))</f>
        <v/>
      </c>
      <c r="V116" s="39">
        <v>3</v>
      </c>
      <c r="W116" s="39"/>
      <c r="X116" s="40"/>
      <c r="Y116" s="45" t="str">
        <f>IF(M114="", "", IF(M114&gt;12, K114+5, IF(M114&lt;10, K114-5, K114)))</f>
        <v/>
      </c>
      <c r="Z116" s="32"/>
      <c r="AA116" s="32"/>
      <c r="AC116" s="86"/>
      <c r="AD116" s="35"/>
      <c r="AE116" s="45" t="str">
        <f>IF(S115="", "", IF(S115&gt;12, Q115+2.5, IF(S115&lt;10, Q115-2.5, Q115)))</f>
        <v/>
      </c>
      <c r="AF116" s="32">
        <v>2</v>
      </c>
      <c r="AG116" s="32"/>
      <c r="AH116" s="41"/>
      <c r="AI116" s="45" t="str">
        <f>IF(W114="", "", IF(W114&gt;12, U114+2.5, IF(W114&lt;10, U114-2.5, U114)))</f>
        <v/>
      </c>
      <c r="AJ116" s="39">
        <v>3</v>
      </c>
      <c r="AK116" s="39"/>
      <c r="AL116" s="40"/>
      <c r="AM116" s="45" t="str">
        <f>IF(AA114="", "", IF(AA114&gt;12, Y114+5, IF(AA114&lt;10, Y114-5, Y114)))</f>
        <v/>
      </c>
      <c r="AN116" s="32"/>
      <c r="AO116" s="32"/>
      <c r="AP116" s="35"/>
      <c r="AQ116" s="86"/>
      <c r="AR116" s="35"/>
      <c r="AS116" s="45" t="str">
        <f>IF(AG115="", "", IF(AG115&gt;12, AE115+2.5, IF(AG115&lt;10, AE115-2.5, AE115)))</f>
        <v/>
      </c>
      <c r="AT116" s="32">
        <v>2</v>
      </c>
      <c r="AU116" s="32"/>
      <c r="AV116" s="41"/>
      <c r="AW116" s="45" t="str">
        <f>IF(AK114="", "", IF(AK114&gt;12, AI114+2.5, IF(AK114&lt;10, AI114-2.5, AI114)))</f>
        <v/>
      </c>
      <c r="AX116" s="39">
        <v>3</v>
      </c>
      <c r="AY116" s="39"/>
      <c r="AZ116" s="40"/>
      <c r="BA116" s="45" t="str">
        <f>IF(AO114="", "", IF(AO114&gt;12, AM114+5, IF(AO114&lt;10, AM114-5, AM114)))</f>
        <v/>
      </c>
      <c r="BB116" s="32"/>
      <c r="BC116" s="32"/>
      <c r="BD116" s="35"/>
      <c r="BE116" s="86"/>
      <c r="BF116" s="35"/>
      <c r="BG116" s="45" t="str">
        <f>IF(AU115="", "", IF(AU115&gt;12, AS115+2.5, IF(AU115&lt;10, AS115-2.5, AS115)))</f>
        <v/>
      </c>
      <c r="BH116" s="32">
        <v>2</v>
      </c>
      <c r="BI116" s="32"/>
      <c r="BJ116" s="41"/>
      <c r="BK116" s="45" t="str">
        <f>IF(AY114="", "", IF(AY114&gt;12, AW114+2.5, IF(AY114&lt;10, AW114-2.5, AW114)))</f>
        <v/>
      </c>
      <c r="BL116" s="39">
        <v>3</v>
      </c>
      <c r="BM116" s="39"/>
      <c r="BN116" s="40"/>
      <c r="BO116" s="45" t="str">
        <f>IF(BC114="", "", IF(BC114&gt;12, BA114+5, IF(BC114&lt;10, BA114-5, BA114)))</f>
        <v/>
      </c>
      <c r="BP116" s="32"/>
      <c r="BQ116" s="32"/>
      <c r="BR116" s="35"/>
      <c r="BS116" s="86"/>
      <c r="BT116" s="35"/>
      <c r="BU116" s="45" t="str">
        <f>IF(BI115="", "", IF(BI115&gt;12, BG115+2.5, IF(BI115&lt;10, BG115-2.5, BG115)))</f>
        <v/>
      </c>
      <c r="BV116" s="32">
        <v>2</v>
      </c>
      <c r="BW116" s="32"/>
      <c r="BX116" s="41"/>
      <c r="BY116" s="45" t="str">
        <f>IF(BM114="", "", IF(BM114&gt;12, BK114+2.5, IF(BM114&lt;10, BK114-2.5, BK114)))</f>
        <v/>
      </c>
      <c r="BZ116" s="39">
        <v>3</v>
      </c>
      <c r="CA116" s="39"/>
      <c r="CB116" s="40"/>
      <c r="CC116" s="45" t="str">
        <f>IF(BQ114="", "", IF(BQ114&gt;12, BO114+5, IF(BQ114&lt;10, BO114-5, BO114)))</f>
        <v/>
      </c>
      <c r="CD116" s="32"/>
      <c r="CE116" s="32"/>
      <c r="CF116" s="35"/>
      <c r="CG116" s="86"/>
      <c r="CH116" s="35"/>
      <c r="CI116" s="45" t="str">
        <f>IF(BW115="", "", IF(BW115&gt;12, BU115+2.5, IF(BW115&lt;10, BU115-2.5, BU115)))</f>
        <v/>
      </c>
      <c r="CJ116" s="32">
        <v>2</v>
      </c>
      <c r="CK116" s="32"/>
      <c r="CL116" s="41"/>
      <c r="CM116" s="45" t="str">
        <f>IF(CA114="", "", IF(CA114&gt;12, BY114+2.5, IF(CA114&lt;10, BY114-2.5, BY114)))</f>
        <v/>
      </c>
      <c r="CN116" s="39">
        <v>3</v>
      </c>
      <c r="CO116" s="39"/>
      <c r="CP116" s="40"/>
      <c r="CQ116" s="45" t="str">
        <f>IF(CE114="", "", IF(CE114&gt;12, CC114+5, IF(CE114&lt;10, CC114-5, CC114)))</f>
        <v/>
      </c>
      <c r="CR116" s="32"/>
      <c r="CS116" s="32"/>
      <c r="CT116" s="35"/>
      <c r="CU116" s="86"/>
      <c r="CV116" s="35"/>
      <c r="CW116" s="45" t="str">
        <f>IF(CK115="", "", IF(CK115&gt;12, CI115+2.5, IF(CK115&lt;10, CI115-2.5, CI115)))</f>
        <v/>
      </c>
      <c r="CX116" s="32">
        <v>2</v>
      </c>
      <c r="CY116" s="32"/>
      <c r="CZ116" s="41"/>
      <c r="DA116" s="45" t="str">
        <f>IF(CO114="", "", IF(CO114&gt;12, CM114+2.5, IF(CO114&lt;10, CM114-2.5, CM114)))</f>
        <v/>
      </c>
      <c r="DB116" s="39">
        <v>3</v>
      </c>
      <c r="DC116" s="39"/>
      <c r="DD116" s="40"/>
      <c r="DE116" s="45" t="str">
        <f>IF(CS114="", "", IF(CS114&gt;12, CQ114+5, IF(CS114&lt;10, CQ114-5, CQ114)))</f>
        <v/>
      </c>
      <c r="DF116" s="32"/>
      <c r="DG116" s="32"/>
      <c r="DH116" s="35"/>
      <c r="DI116" s="86"/>
      <c r="DJ116" s="35"/>
      <c r="DK116" s="45" t="str">
        <f>IF(CY115="", "", IF(CY115&gt;12, CW115+2.5, IF(CY115&lt;10, CW115-2.5, CW115)))</f>
        <v/>
      </c>
      <c r="DL116" s="32">
        <v>2</v>
      </c>
      <c r="DM116" s="32"/>
      <c r="DN116" s="41"/>
      <c r="DO116" s="45" t="str">
        <f>IF(DC114="", "", IF(DC114&gt;12, DA114+2.5, IF(DC114&lt;10, DA114-2.5, DA114)))</f>
        <v/>
      </c>
      <c r="DP116" s="39">
        <v>3</v>
      </c>
      <c r="DQ116" s="39"/>
      <c r="DR116" s="40"/>
      <c r="DS116" s="45" t="str">
        <f>IF(DG114="", "", IF(DG114&gt;12, DE114+5, IF(DG114&lt;10, DE114-5, DE114)))</f>
        <v/>
      </c>
      <c r="DT116" s="32"/>
      <c r="DU116" s="32"/>
      <c r="DV116" s="35"/>
      <c r="DW116" s="86"/>
      <c r="DX116" s="35"/>
      <c r="DY116" s="45" t="str">
        <f>IF(DM115="", "", IF(DM115&gt;12, DK115+2.5, IF(DM115&lt;10, DK115-2.5, DK115)))</f>
        <v/>
      </c>
      <c r="DZ116" s="32">
        <v>2</v>
      </c>
      <c r="EA116" s="32"/>
      <c r="EB116" s="41"/>
      <c r="EC116" s="45" t="str">
        <f>IF(DQ114="", "", IF(DQ114&gt;12, DO114+2.5, IF(DQ114&lt;10, DO114-2.5, DO114)))</f>
        <v/>
      </c>
      <c r="ED116" s="39">
        <v>3</v>
      </c>
      <c r="EE116" s="39"/>
      <c r="EF116" s="40"/>
      <c r="EG116" s="45" t="str">
        <f>IF(DU114="", "", IF(DU114&gt;12, DS114+5, IF(DU114&lt;10, DS114-5, DS114)))</f>
        <v/>
      </c>
      <c r="EH116" s="32"/>
      <c r="EI116" s="32"/>
      <c r="EJ116" s="35"/>
      <c r="EK116" s="86"/>
      <c r="EL116" s="35"/>
      <c r="EM116" s="45" t="str">
        <f>IF(EA115="", "", IF(EA115&gt;12, DY115+2.5, IF(EA115&lt;10, DY115-2.5, DY115)))</f>
        <v/>
      </c>
      <c r="EN116" s="32">
        <v>2</v>
      </c>
      <c r="EO116" s="32"/>
      <c r="EP116" s="41"/>
      <c r="EQ116" s="45" t="str">
        <f>IF(EE114="", "", IF(EE114&gt;12, EC114+2.5, IF(EE114&lt;10, EC114-2.5, EC114)))</f>
        <v/>
      </c>
      <c r="ER116" s="39">
        <v>3</v>
      </c>
      <c r="ES116" s="39"/>
      <c r="ET116" s="40"/>
      <c r="EU116" s="45" t="str">
        <f>IF(EI114="", "", IF(EI114&gt;12, EG114+5, IF(EI114&lt;10, EG114-5, EG114)))</f>
        <v/>
      </c>
      <c r="EV116" s="32"/>
      <c r="EW116" s="32"/>
      <c r="EX116" s="35"/>
      <c r="EY116" s="86"/>
      <c r="EZ116" s="35"/>
      <c r="FA116" s="45" t="str">
        <f>IF(EO115="", "", IF(EO115&gt;12, EM115+2.5, IF(EO115&lt;10, EM115-2.5, EM115)))</f>
        <v/>
      </c>
      <c r="FB116" s="32">
        <v>2</v>
      </c>
      <c r="FC116" s="32"/>
      <c r="FD116" s="41"/>
      <c r="FE116" s="45" t="str">
        <f>IF(ES114="", "", IF(ES114&gt;12, EQ114+2.5, IF(ES114&lt;10, EQ114-2.5, EQ114)))</f>
        <v/>
      </c>
      <c r="FF116" s="39">
        <v>3</v>
      </c>
      <c r="FG116" s="39"/>
      <c r="FH116" s="40"/>
      <c r="FI116" s="45" t="str">
        <f>IF(EW114="", "", IF(EW114&gt;12, EU114+5, IF(EW114&lt;10, EU114-5, EU114)))</f>
        <v/>
      </c>
      <c r="FJ116" s="32"/>
      <c r="FK116" s="32"/>
      <c r="FL116" s="35"/>
      <c r="FM116" s="86"/>
    </row>
    <row r="117" spans="1:169" ht="15.75" customHeight="1">
      <c r="A117" s="86"/>
      <c r="C117" s="31"/>
      <c r="D117" s="32"/>
      <c r="E117" s="32"/>
      <c r="F117" s="41"/>
      <c r="G117" s="41"/>
      <c r="H117" s="40"/>
      <c r="I117" s="40"/>
      <c r="J117" s="40"/>
      <c r="K117" s="28"/>
      <c r="L117" s="28"/>
      <c r="M117" s="28"/>
      <c r="O117" s="86"/>
      <c r="Q117" s="45"/>
      <c r="R117" s="32"/>
      <c r="S117" s="32"/>
      <c r="T117" s="41"/>
      <c r="U117" s="41"/>
      <c r="V117" s="40"/>
      <c r="W117" s="40"/>
      <c r="X117" s="40"/>
      <c r="Y117" s="28"/>
      <c r="Z117" s="28"/>
      <c r="AA117" s="28"/>
      <c r="AC117" s="86"/>
      <c r="AD117" s="35"/>
      <c r="AE117" s="45"/>
      <c r="AF117" s="32"/>
      <c r="AG117" s="32"/>
      <c r="AH117" s="41"/>
      <c r="AI117" s="41"/>
      <c r="AJ117" s="40"/>
      <c r="AK117" s="40"/>
      <c r="AL117" s="40"/>
      <c r="AM117" s="28"/>
      <c r="AN117" s="28"/>
      <c r="AO117" s="28"/>
      <c r="AP117" s="35"/>
      <c r="AQ117" s="86"/>
      <c r="AR117" s="35"/>
      <c r="AS117" s="45"/>
      <c r="AT117" s="32"/>
      <c r="AU117" s="32"/>
      <c r="AV117" s="41"/>
      <c r="AW117" s="41"/>
      <c r="AX117" s="40"/>
      <c r="AY117" s="40"/>
      <c r="AZ117" s="40"/>
      <c r="BA117" s="28"/>
      <c r="BB117" s="28"/>
      <c r="BC117" s="28"/>
      <c r="BD117" s="35"/>
      <c r="BE117" s="86"/>
      <c r="BF117" s="35"/>
      <c r="BG117" s="45"/>
      <c r="BH117" s="32"/>
      <c r="BI117" s="32"/>
      <c r="BJ117" s="41"/>
      <c r="BK117" s="41"/>
      <c r="BL117" s="40"/>
      <c r="BM117" s="40"/>
      <c r="BN117" s="40"/>
      <c r="BO117" s="28"/>
      <c r="BP117" s="28"/>
      <c r="BQ117" s="28"/>
      <c r="BR117" s="35"/>
      <c r="BS117" s="86"/>
      <c r="BT117" s="35"/>
      <c r="BU117" s="45"/>
      <c r="BV117" s="32"/>
      <c r="BW117" s="32"/>
      <c r="BX117" s="41"/>
      <c r="BY117" s="41"/>
      <c r="BZ117" s="40"/>
      <c r="CA117" s="40"/>
      <c r="CB117" s="40"/>
      <c r="CC117" s="28"/>
      <c r="CD117" s="28"/>
      <c r="CE117" s="28"/>
      <c r="CF117" s="35"/>
      <c r="CG117" s="86"/>
      <c r="CH117" s="35"/>
      <c r="CI117" s="45"/>
      <c r="CJ117" s="32"/>
      <c r="CK117" s="32"/>
      <c r="CL117" s="41"/>
      <c r="CM117" s="41"/>
      <c r="CN117" s="40"/>
      <c r="CO117" s="40"/>
      <c r="CP117" s="40"/>
      <c r="CQ117" s="28"/>
      <c r="CR117" s="28"/>
      <c r="CS117" s="28"/>
      <c r="CT117" s="35"/>
      <c r="CU117" s="86"/>
      <c r="CV117" s="35"/>
      <c r="CW117" s="45"/>
      <c r="CX117" s="32"/>
      <c r="CY117" s="32"/>
      <c r="CZ117" s="41"/>
      <c r="DA117" s="41"/>
      <c r="DB117" s="40"/>
      <c r="DC117" s="40"/>
      <c r="DD117" s="40"/>
      <c r="DE117" s="28"/>
      <c r="DF117" s="28"/>
      <c r="DG117" s="28"/>
      <c r="DH117" s="35"/>
      <c r="DI117" s="86"/>
      <c r="DJ117" s="35"/>
      <c r="DK117" s="45"/>
      <c r="DL117" s="32"/>
      <c r="DM117" s="32"/>
      <c r="DN117" s="41"/>
      <c r="DO117" s="41"/>
      <c r="DP117" s="40"/>
      <c r="DQ117" s="40"/>
      <c r="DR117" s="40"/>
      <c r="DS117" s="28"/>
      <c r="DT117" s="28"/>
      <c r="DU117" s="28"/>
      <c r="DV117" s="35"/>
      <c r="DW117" s="86"/>
      <c r="DX117" s="35"/>
      <c r="DY117" s="45"/>
      <c r="DZ117" s="32"/>
      <c r="EA117" s="32"/>
      <c r="EB117" s="41"/>
      <c r="EC117" s="41"/>
      <c r="ED117" s="40"/>
      <c r="EE117" s="40"/>
      <c r="EF117" s="40"/>
      <c r="EG117" s="28"/>
      <c r="EH117" s="28"/>
      <c r="EI117" s="28"/>
      <c r="EJ117" s="35"/>
      <c r="EK117" s="86"/>
      <c r="EL117" s="35"/>
      <c r="EM117" s="45"/>
      <c r="EN117" s="32"/>
      <c r="EO117" s="32"/>
      <c r="EP117" s="41"/>
      <c r="EQ117" s="41"/>
      <c r="ER117" s="40"/>
      <c r="ES117" s="40"/>
      <c r="ET117" s="40"/>
      <c r="EU117" s="28"/>
      <c r="EV117" s="28"/>
      <c r="EW117" s="28"/>
      <c r="EX117" s="35"/>
      <c r="EY117" s="86"/>
      <c r="EZ117" s="35"/>
      <c r="FA117" s="45"/>
      <c r="FB117" s="32"/>
      <c r="FC117" s="32"/>
      <c r="FD117" s="41"/>
      <c r="FE117" s="41"/>
      <c r="FF117" s="40"/>
      <c r="FG117" s="40"/>
      <c r="FH117" s="40"/>
      <c r="FI117" s="28"/>
      <c r="FJ117" s="28"/>
      <c r="FK117" s="28"/>
      <c r="FL117" s="35"/>
      <c r="FM117" s="86"/>
    </row>
    <row r="118" spans="1:169" ht="15.75" customHeight="1">
      <c r="A118" s="86"/>
      <c r="B118" s="30"/>
      <c r="C118" s="28"/>
      <c r="D118" s="28"/>
      <c r="E118" s="28"/>
      <c r="F118" s="41"/>
      <c r="G118" s="66" t="s">
        <v>18</v>
      </c>
      <c r="H118" s="66"/>
      <c r="I118" s="66"/>
      <c r="J118" s="40"/>
      <c r="K118" s="66" t="s">
        <v>18</v>
      </c>
      <c r="L118" s="66"/>
      <c r="M118" s="66"/>
      <c r="O118" s="86"/>
      <c r="Q118" s="28"/>
      <c r="R118" s="28"/>
      <c r="S118" s="28"/>
      <c r="T118" s="41"/>
      <c r="U118" s="66" t="s">
        <v>18</v>
      </c>
      <c r="V118" s="66"/>
      <c r="W118" s="66"/>
      <c r="X118" s="40"/>
      <c r="Y118" s="66" t="s">
        <v>18</v>
      </c>
      <c r="Z118" s="66"/>
      <c r="AA118" s="66"/>
      <c r="AC118" s="86"/>
      <c r="AD118" s="35"/>
      <c r="AE118" s="28"/>
      <c r="AF118" s="28"/>
      <c r="AG118" s="28"/>
      <c r="AH118" s="41"/>
      <c r="AI118" s="66" t="s">
        <v>18</v>
      </c>
      <c r="AJ118" s="66"/>
      <c r="AK118" s="66"/>
      <c r="AL118" s="40"/>
      <c r="AM118" s="66" t="s">
        <v>18</v>
      </c>
      <c r="AN118" s="66"/>
      <c r="AO118" s="66"/>
      <c r="AP118" s="35"/>
      <c r="AQ118" s="86"/>
      <c r="AR118" s="35"/>
      <c r="AS118" s="28"/>
      <c r="AT118" s="28"/>
      <c r="AU118" s="28"/>
      <c r="AV118" s="41"/>
      <c r="AW118" s="66" t="s">
        <v>18</v>
      </c>
      <c r="AX118" s="66"/>
      <c r="AY118" s="66"/>
      <c r="AZ118" s="40"/>
      <c r="BA118" s="66" t="s">
        <v>18</v>
      </c>
      <c r="BB118" s="66"/>
      <c r="BC118" s="66"/>
      <c r="BD118" s="35"/>
      <c r="BE118" s="86"/>
      <c r="BF118" s="35"/>
      <c r="BG118" s="28"/>
      <c r="BH118" s="28"/>
      <c r="BI118" s="28"/>
      <c r="BJ118" s="41"/>
      <c r="BK118" s="66" t="s">
        <v>18</v>
      </c>
      <c r="BL118" s="66"/>
      <c r="BM118" s="66"/>
      <c r="BN118" s="40"/>
      <c r="BO118" s="66" t="s">
        <v>18</v>
      </c>
      <c r="BP118" s="66"/>
      <c r="BQ118" s="66"/>
      <c r="BR118" s="35"/>
      <c r="BS118" s="86"/>
      <c r="BT118" s="35"/>
      <c r="BU118" s="28"/>
      <c r="BV118" s="28"/>
      <c r="BW118" s="28"/>
      <c r="BX118" s="41"/>
      <c r="BY118" s="66" t="s">
        <v>18</v>
      </c>
      <c r="BZ118" s="66"/>
      <c r="CA118" s="66"/>
      <c r="CB118" s="40"/>
      <c r="CC118" s="66" t="s">
        <v>18</v>
      </c>
      <c r="CD118" s="66"/>
      <c r="CE118" s="66"/>
      <c r="CF118" s="35"/>
      <c r="CG118" s="86"/>
      <c r="CH118" s="35"/>
      <c r="CI118" s="28"/>
      <c r="CJ118" s="28"/>
      <c r="CK118" s="28"/>
      <c r="CL118" s="41"/>
      <c r="CM118" s="66" t="s">
        <v>18</v>
      </c>
      <c r="CN118" s="66"/>
      <c r="CO118" s="66"/>
      <c r="CP118" s="40"/>
      <c r="CQ118" s="66" t="s">
        <v>18</v>
      </c>
      <c r="CR118" s="66"/>
      <c r="CS118" s="66"/>
      <c r="CT118" s="35"/>
      <c r="CU118" s="86"/>
      <c r="CV118" s="35"/>
      <c r="CW118" s="28"/>
      <c r="CX118" s="28"/>
      <c r="CY118" s="28"/>
      <c r="CZ118" s="41"/>
      <c r="DA118" s="66" t="s">
        <v>18</v>
      </c>
      <c r="DB118" s="66"/>
      <c r="DC118" s="66"/>
      <c r="DD118" s="40"/>
      <c r="DE118" s="66" t="s">
        <v>18</v>
      </c>
      <c r="DF118" s="66"/>
      <c r="DG118" s="66"/>
      <c r="DH118" s="35"/>
      <c r="DI118" s="86"/>
      <c r="DJ118" s="35"/>
      <c r="DK118" s="28"/>
      <c r="DL118" s="28"/>
      <c r="DM118" s="28"/>
      <c r="DN118" s="41"/>
      <c r="DO118" s="66" t="s">
        <v>18</v>
      </c>
      <c r="DP118" s="66"/>
      <c r="DQ118" s="66"/>
      <c r="DR118" s="40"/>
      <c r="DS118" s="66" t="s">
        <v>18</v>
      </c>
      <c r="DT118" s="66"/>
      <c r="DU118" s="66"/>
      <c r="DV118" s="35"/>
      <c r="DW118" s="86"/>
      <c r="DX118" s="35"/>
      <c r="DY118" s="28"/>
      <c r="DZ118" s="28"/>
      <c r="EA118" s="28"/>
      <c r="EB118" s="41"/>
      <c r="EC118" s="66" t="s">
        <v>18</v>
      </c>
      <c r="ED118" s="66"/>
      <c r="EE118" s="66"/>
      <c r="EF118" s="40"/>
      <c r="EG118" s="66" t="s">
        <v>18</v>
      </c>
      <c r="EH118" s="66"/>
      <c r="EI118" s="66"/>
      <c r="EJ118" s="35"/>
      <c r="EK118" s="86"/>
      <c r="EL118" s="35"/>
      <c r="EM118" s="28"/>
      <c r="EN118" s="28"/>
      <c r="EO118" s="28"/>
      <c r="EP118" s="41"/>
      <c r="EQ118" s="66" t="s">
        <v>18</v>
      </c>
      <c r="ER118" s="66"/>
      <c r="ES118" s="66"/>
      <c r="ET118" s="40"/>
      <c r="EU118" s="66" t="s">
        <v>18</v>
      </c>
      <c r="EV118" s="66"/>
      <c r="EW118" s="66"/>
      <c r="EX118" s="35"/>
      <c r="EY118" s="86"/>
      <c r="EZ118" s="35"/>
      <c r="FA118" s="28"/>
      <c r="FB118" s="28"/>
      <c r="FC118" s="28"/>
      <c r="FD118" s="41"/>
      <c r="FE118" s="66" t="s">
        <v>18</v>
      </c>
      <c r="FF118" s="66"/>
      <c r="FG118" s="66"/>
      <c r="FH118" s="40"/>
      <c r="FI118" s="66" t="s">
        <v>18</v>
      </c>
      <c r="FJ118" s="66"/>
      <c r="FK118" s="66"/>
      <c r="FL118" s="35"/>
      <c r="FM118" s="86"/>
    </row>
    <row r="119" spans="1:169" ht="15.75" customHeight="1">
      <c r="A119" s="86"/>
      <c r="C119" s="65" t="s">
        <v>14</v>
      </c>
      <c r="D119" s="59"/>
      <c r="E119" s="59"/>
      <c r="F119" s="40"/>
      <c r="G119" s="39" t="s">
        <v>4</v>
      </c>
      <c r="H119" s="39" t="s">
        <v>38</v>
      </c>
      <c r="I119" s="39" t="s">
        <v>39</v>
      </c>
      <c r="J119" s="40"/>
      <c r="K119" s="39" t="s">
        <v>4</v>
      </c>
      <c r="L119" s="39" t="s">
        <v>38</v>
      </c>
      <c r="M119" s="39" t="s">
        <v>39</v>
      </c>
      <c r="O119" s="86"/>
      <c r="Q119" s="65" t="s">
        <v>14</v>
      </c>
      <c r="R119" s="59"/>
      <c r="S119" s="59"/>
      <c r="T119" s="40"/>
      <c r="U119" s="39" t="s">
        <v>4</v>
      </c>
      <c r="V119" s="39" t="s">
        <v>38</v>
      </c>
      <c r="W119" s="39" t="s">
        <v>39</v>
      </c>
      <c r="X119" s="40"/>
      <c r="Y119" s="39" t="s">
        <v>4</v>
      </c>
      <c r="Z119" s="39" t="s">
        <v>38</v>
      </c>
      <c r="AA119" s="39" t="s">
        <v>39</v>
      </c>
      <c r="AC119" s="86"/>
      <c r="AD119" s="35"/>
      <c r="AE119" s="65" t="s">
        <v>14</v>
      </c>
      <c r="AF119" s="59"/>
      <c r="AG119" s="59"/>
      <c r="AH119" s="40"/>
      <c r="AI119" s="39" t="s">
        <v>4</v>
      </c>
      <c r="AJ119" s="39" t="s">
        <v>38</v>
      </c>
      <c r="AK119" s="39" t="s">
        <v>39</v>
      </c>
      <c r="AL119" s="40"/>
      <c r="AM119" s="39" t="s">
        <v>4</v>
      </c>
      <c r="AN119" s="39" t="s">
        <v>38</v>
      </c>
      <c r="AO119" s="39" t="s">
        <v>39</v>
      </c>
      <c r="AP119" s="35"/>
      <c r="AQ119" s="86"/>
      <c r="AR119" s="35"/>
      <c r="AS119" s="65" t="s">
        <v>14</v>
      </c>
      <c r="AT119" s="59"/>
      <c r="AU119" s="59"/>
      <c r="AV119" s="40"/>
      <c r="AW119" s="39" t="s">
        <v>4</v>
      </c>
      <c r="AX119" s="39" t="s">
        <v>38</v>
      </c>
      <c r="AY119" s="39" t="s">
        <v>39</v>
      </c>
      <c r="AZ119" s="40"/>
      <c r="BA119" s="39" t="s">
        <v>4</v>
      </c>
      <c r="BB119" s="39" t="s">
        <v>38</v>
      </c>
      <c r="BC119" s="39" t="s">
        <v>39</v>
      </c>
      <c r="BD119" s="35"/>
      <c r="BE119" s="86"/>
      <c r="BF119" s="35"/>
      <c r="BG119" s="65" t="s">
        <v>14</v>
      </c>
      <c r="BH119" s="59"/>
      <c r="BI119" s="59"/>
      <c r="BJ119" s="40"/>
      <c r="BK119" s="39" t="s">
        <v>4</v>
      </c>
      <c r="BL119" s="39" t="s">
        <v>38</v>
      </c>
      <c r="BM119" s="39" t="s">
        <v>39</v>
      </c>
      <c r="BN119" s="40"/>
      <c r="BO119" s="39" t="s">
        <v>4</v>
      </c>
      <c r="BP119" s="39" t="s">
        <v>38</v>
      </c>
      <c r="BQ119" s="39" t="s">
        <v>39</v>
      </c>
      <c r="BR119" s="35"/>
      <c r="BS119" s="86"/>
      <c r="BT119" s="35"/>
      <c r="BU119" s="65" t="s">
        <v>14</v>
      </c>
      <c r="BV119" s="59"/>
      <c r="BW119" s="59"/>
      <c r="BX119" s="40"/>
      <c r="BY119" s="39" t="s">
        <v>4</v>
      </c>
      <c r="BZ119" s="39" t="s">
        <v>38</v>
      </c>
      <c r="CA119" s="39" t="s">
        <v>39</v>
      </c>
      <c r="CB119" s="40"/>
      <c r="CC119" s="39" t="s">
        <v>4</v>
      </c>
      <c r="CD119" s="39" t="s">
        <v>38</v>
      </c>
      <c r="CE119" s="39" t="s">
        <v>39</v>
      </c>
      <c r="CF119" s="35"/>
      <c r="CG119" s="86"/>
      <c r="CH119" s="35"/>
      <c r="CI119" s="65" t="s">
        <v>14</v>
      </c>
      <c r="CJ119" s="59"/>
      <c r="CK119" s="59"/>
      <c r="CL119" s="40"/>
      <c r="CM119" s="39" t="s">
        <v>4</v>
      </c>
      <c r="CN119" s="39" t="s">
        <v>38</v>
      </c>
      <c r="CO119" s="39" t="s">
        <v>39</v>
      </c>
      <c r="CP119" s="40"/>
      <c r="CQ119" s="39" t="s">
        <v>4</v>
      </c>
      <c r="CR119" s="39" t="s">
        <v>38</v>
      </c>
      <c r="CS119" s="39" t="s">
        <v>39</v>
      </c>
      <c r="CT119" s="35"/>
      <c r="CU119" s="86"/>
      <c r="CV119" s="35"/>
      <c r="CW119" s="65" t="s">
        <v>14</v>
      </c>
      <c r="CX119" s="59"/>
      <c r="CY119" s="59"/>
      <c r="CZ119" s="40"/>
      <c r="DA119" s="39" t="s">
        <v>4</v>
      </c>
      <c r="DB119" s="39" t="s">
        <v>38</v>
      </c>
      <c r="DC119" s="39" t="s">
        <v>39</v>
      </c>
      <c r="DD119" s="40"/>
      <c r="DE119" s="39" t="s">
        <v>4</v>
      </c>
      <c r="DF119" s="39" t="s">
        <v>38</v>
      </c>
      <c r="DG119" s="39" t="s">
        <v>39</v>
      </c>
      <c r="DH119" s="35"/>
      <c r="DI119" s="86"/>
      <c r="DJ119" s="35"/>
      <c r="DK119" s="65" t="s">
        <v>14</v>
      </c>
      <c r="DL119" s="59"/>
      <c r="DM119" s="59"/>
      <c r="DN119" s="40"/>
      <c r="DO119" s="39" t="s">
        <v>4</v>
      </c>
      <c r="DP119" s="39" t="s">
        <v>38</v>
      </c>
      <c r="DQ119" s="39" t="s">
        <v>39</v>
      </c>
      <c r="DR119" s="40"/>
      <c r="DS119" s="39" t="s">
        <v>4</v>
      </c>
      <c r="DT119" s="39" t="s">
        <v>38</v>
      </c>
      <c r="DU119" s="39" t="s">
        <v>39</v>
      </c>
      <c r="DV119" s="35"/>
      <c r="DW119" s="86"/>
      <c r="DX119" s="35"/>
      <c r="DY119" s="65" t="s">
        <v>14</v>
      </c>
      <c r="DZ119" s="59"/>
      <c r="EA119" s="59"/>
      <c r="EB119" s="40"/>
      <c r="EC119" s="39" t="s">
        <v>4</v>
      </c>
      <c r="ED119" s="39" t="s">
        <v>38</v>
      </c>
      <c r="EE119" s="39" t="s">
        <v>39</v>
      </c>
      <c r="EF119" s="40"/>
      <c r="EG119" s="39" t="s">
        <v>4</v>
      </c>
      <c r="EH119" s="39" t="s">
        <v>38</v>
      </c>
      <c r="EI119" s="39" t="s">
        <v>39</v>
      </c>
      <c r="EJ119" s="35"/>
      <c r="EK119" s="86"/>
      <c r="EL119" s="35"/>
      <c r="EM119" s="65" t="s">
        <v>14</v>
      </c>
      <c r="EN119" s="59"/>
      <c r="EO119" s="59"/>
      <c r="EP119" s="40"/>
      <c r="EQ119" s="39" t="s">
        <v>4</v>
      </c>
      <c r="ER119" s="39" t="s">
        <v>38</v>
      </c>
      <c r="ES119" s="39" t="s">
        <v>39</v>
      </c>
      <c r="ET119" s="40"/>
      <c r="EU119" s="39" t="s">
        <v>4</v>
      </c>
      <c r="EV119" s="39" t="s">
        <v>38</v>
      </c>
      <c r="EW119" s="39" t="s">
        <v>39</v>
      </c>
      <c r="EX119" s="35"/>
      <c r="EY119" s="86"/>
      <c r="EZ119" s="35"/>
      <c r="FA119" s="65" t="s">
        <v>14</v>
      </c>
      <c r="FB119" s="59"/>
      <c r="FC119" s="59"/>
      <c r="FD119" s="40"/>
      <c r="FE119" s="39" t="s">
        <v>4</v>
      </c>
      <c r="FF119" s="39" t="s">
        <v>38</v>
      </c>
      <c r="FG119" s="39" t="s">
        <v>39</v>
      </c>
      <c r="FH119" s="40"/>
      <c r="FI119" s="39" t="s">
        <v>4</v>
      </c>
      <c r="FJ119" s="39" t="s">
        <v>38</v>
      </c>
      <c r="FK119" s="39" t="s">
        <v>39</v>
      </c>
      <c r="FL119" s="35"/>
      <c r="FM119" s="86"/>
    </row>
    <row r="120" spans="1:169" ht="15.75" customHeight="1">
      <c r="A120" s="86"/>
      <c r="C120" s="31" t="s">
        <v>4</v>
      </c>
      <c r="D120" s="32" t="s">
        <v>38</v>
      </c>
      <c r="E120" s="32" t="s">
        <v>39</v>
      </c>
      <c r="F120" s="30"/>
      <c r="G120" s="39">
        <v>0</v>
      </c>
      <c r="H120" s="39">
        <v>1</v>
      </c>
      <c r="I120" s="39">
        <v>25</v>
      </c>
      <c r="J120" s="30"/>
      <c r="K120" s="39">
        <v>0</v>
      </c>
      <c r="L120" s="39">
        <v>1</v>
      </c>
      <c r="M120" s="39">
        <v>25</v>
      </c>
      <c r="O120" s="86"/>
      <c r="Q120" s="31" t="s">
        <v>4</v>
      </c>
      <c r="R120" s="32" t="s">
        <v>38</v>
      </c>
      <c r="S120" s="32" t="s">
        <v>39</v>
      </c>
      <c r="T120" s="30"/>
      <c r="U120" s="39">
        <v>0</v>
      </c>
      <c r="V120" s="39">
        <v>1</v>
      </c>
      <c r="W120" s="39">
        <v>25</v>
      </c>
      <c r="X120" s="40"/>
      <c r="Y120" s="39">
        <v>0</v>
      </c>
      <c r="Z120" s="39">
        <v>1</v>
      </c>
      <c r="AA120" s="39">
        <v>25</v>
      </c>
      <c r="AC120" s="86"/>
      <c r="AD120" s="35"/>
      <c r="AE120" s="31" t="s">
        <v>4</v>
      </c>
      <c r="AF120" s="32" t="s">
        <v>38</v>
      </c>
      <c r="AG120" s="32" t="s">
        <v>39</v>
      </c>
      <c r="AH120" s="30"/>
      <c r="AI120" s="39">
        <v>0</v>
      </c>
      <c r="AJ120" s="39">
        <v>1</v>
      </c>
      <c r="AK120" s="39">
        <v>25</v>
      </c>
      <c r="AL120" s="40"/>
      <c r="AM120" s="39">
        <v>0</v>
      </c>
      <c r="AN120" s="39">
        <v>1</v>
      </c>
      <c r="AO120" s="39">
        <v>25</v>
      </c>
      <c r="AP120" s="35"/>
      <c r="AQ120" s="86"/>
      <c r="AR120" s="35"/>
      <c r="AS120" s="31" t="s">
        <v>4</v>
      </c>
      <c r="AT120" s="32" t="s">
        <v>38</v>
      </c>
      <c r="AU120" s="32" t="s">
        <v>39</v>
      </c>
      <c r="AV120" s="30"/>
      <c r="AW120" s="39">
        <v>0</v>
      </c>
      <c r="AX120" s="39">
        <v>1</v>
      </c>
      <c r="AY120" s="39">
        <v>25</v>
      </c>
      <c r="AZ120" s="40"/>
      <c r="BA120" s="39">
        <v>0</v>
      </c>
      <c r="BB120" s="39">
        <v>1</v>
      </c>
      <c r="BC120" s="39">
        <v>25</v>
      </c>
      <c r="BD120" s="35"/>
      <c r="BE120" s="86"/>
      <c r="BF120" s="35"/>
      <c r="BG120" s="31" t="s">
        <v>4</v>
      </c>
      <c r="BH120" s="32" t="s">
        <v>38</v>
      </c>
      <c r="BI120" s="32" t="s">
        <v>39</v>
      </c>
      <c r="BJ120" s="30"/>
      <c r="BK120" s="39">
        <v>0</v>
      </c>
      <c r="BL120" s="39">
        <v>1</v>
      </c>
      <c r="BM120" s="39">
        <v>25</v>
      </c>
      <c r="BN120" s="40"/>
      <c r="BO120" s="39">
        <v>0</v>
      </c>
      <c r="BP120" s="39">
        <v>1</v>
      </c>
      <c r="BQ120" s="39">
        <v>25</v>
      </c>
      <c r="BR120" s="35"/>
      <c r="BS120" s="86"/>
      <c r="BT120" s="35"/>
      <c r="BU120" s="31" t="s">
        <v>4</v>
      </c>
      <c r="BV120" s="32" t="s">
        <v>38</v>
      </c>
      <c r="BW120" s="32" t="s">
        <v>39</v>
      </c>
      <c r="BX120" s="30"/>
      <c r="BY120" s="39">
        <v>0</v>
      </c>
      <c r="BZ120" s="39">
        <v>1</v>
      </c>
      <c r="CA120" s="39">
        <v>25</v>
      </c>
      <c r="CB120" s="40"/>
      <c r="CC120" s="39">
        <v>0</v>
      </c>
      <c r="CD120" s="39">
        <v>1</v>
      </c>
      <c r="CE120" s="39">
        <v>25</v>
      </c>
      <c r="CF120" s="35"/>
      <c r="CG120" s="86"/>
      <c r="CH120" s="35"/>
      <c r="CI120" s="31" t="s">
        <v>4</v>
      </c>
      <c r="CJ120" s="32" t="s">
        <v>38</v>
      </c>
      <c r="CK120" s="32" t="s">
        <v>39</v>
      </c>
      <c r="CL120" s="30"/>
      <c r="CM120" s="39">
        <v>0</v>
      </c>
      <c r="CN120" s="39">
        <v>1</v>
      </c>
      <c r="CO120" s="39">
        <v>25</v>
      </c>
      <c r="CP120" s="40"/>
      <c r="CQ120" s="39">
        <v>0</v>
      </c>
      <c r="CR120" s="39">
        <v>1</v>
      </c>
      <c r="CS120" s="39">
        <v>25</v>
      </c>
      <c r="CT120" s="35"/>
      <c r="CU120" s="86"/>
      <c r="CV120" s="35"/>
      <c r="CW120" s="31" t="s">
        <v>4</v>
      </c>
      <c r="CX120" s="32" t="s">
        <v>38</v>
      </c>
      <c r="CY120" s="32" t="s">
        <v>39</v>
      </c>
      <c r="CZ120" s="30"/>
      <c r="DA120" s="39">
        <v>0</v>
      </c>
      <c r="DB120" s="39">
        <v>1</v>
      </c>
      <c r="DC120" s="39">
        <v>25</v>
      </c>
      <c r="DD120" s="40"/>
      <c r="DE120" s="39">
        <v>0</v>
      </c>
      <c r="DF120" s="39">
        <v>1</v>
      </c>
      <c r="DG120" s="39">
        <v>25</v>
      </c>
      <c r="DH120" s="35"/>
      <c r="DI120" s="86"/>
      <c r="DJ120" s="35"/>
      <c r="DK120" s="31" t="s">
        <v>4</v>
      </c>
      <c r="DL120" s="32" t="s">
        <v>38</v>
      </c>
      <c r="DM120" s="32" t="s">
        <v>39</v>
      </c>
      <c r="DN120" s="30"/>
      <c r="DO120" s="39">
        <v>0</v>
      </c>
      <c r="DP120" s="39">
        <v>1</v>
      </c>
      <c r="DQ120" s="39">
        <v>25</v>
      </c>
      <c r="DR120" s="40"/>
      <c r="DS120" s="39">
        <v>0</v>
      </c>
      <c r="DT120" s="39">
        <v>1</v>
      </c>
      <c r="DU120" s="39">
        <v>25</v>
      </c>
      <c r="DV120" s="35"/>
      <c r="DW120" s="86"/>
      <c r="DX120" s="35"/>
      <c r="DY120" s="31" t="s">
        <v>4</v>
      </c>
      <c r="DZ120" s="32" t="s">
        <v>38</v>
      </c>
      <c r="EA120" s="32" t="s">
        <v>39</v>
      </c>
      <c r="EB120" s="30"/>
      <c r="EC120" s="39">
        <v>0</v>
      </c>
      <c r="ED120" s="39">
        <v>1</v>
      </c>
      <c r="EE120" s="39">
        <v>25</v>
      </c>
      <c r="EF120" s="40"/>
      <c r="EG120" s="39">
        <v>0</v>
      </c>
      <c r="EH120" s="39">
        <v>1</v>
      </c>
      <c r="EI120" s="39">
        <v>25</v>
      </c>
      <c r="EJ120" s="35"/>
      <c r="EK120" s="86"/>
      <c r="EL120" s="35"/>
      <c r="EM120" s="31" t="s">
        <v>4</v>
      </c>
      <c r="EN120" s="32" t="s">
        <v>38</v>
      </c>
      <c r="EO120" s="32" t="s">
        <v>39</v>
      </c>
      <c r="EP120" s="30"/>
      <c r="EQ120" s="39">
        <v>0</v>
      </c>
      <c r="ER120" s="39">
        <v>1</v>
      </c>
      <c r="ES120" s="39">
        <v>25</v>
      </c>
      <c r="ET120" s="40"/>
      <c r="EU120" s="39">
        <v>0</v>
      </c>
      <c r="EV120" s="39">
        <v>1</v>
      </c>
      <c r="EW120" s="39">
        <v>25</v>
      </c>
      <c r="EX120" s="35"/>
      <c r="EY120" s="86"/>
      <c r="EZ120" s="35"/>
      <c r="FA120" s="31" t="s">
        <v>4</v>
      </c>
      <c r="FB120" s="32" t="s">
        <v>38</v>
      </c>
      <c r="FC120" s="32" t="s">
        <v>39</v>
      </c>
      <c r="FD120" s="30"/>
      <c r="FE120" s="39">
        <v>0</v>
      </c>
      <c r="FF120" s="39">
        <v>1</v>
      </c>
      <c r="FG120" s="39">
        <v>25</v>
      </c>
      <c r="FH120" s="40"/>
      <c r="FI120" s="39">
        <v>0</v>
      </c>
      <c r="FJ120" s="39">
        <v>1</v>
      </c>
      <c r="FK120" s="39">
        <v>25</v>
      </c>
      <c r="FL120" s="35"/>
      <c r="FM120" s="86"/>
    </row>
    <row r="121" spans="1:169" ht="15.75" customHeight="1">
      <c r="A121" s="86"/>
      <c r="B121" s="30" t="str">
        <f>"берем около " &amp; INT(0.6*F23)&amp; "кг"</f>
        <v>берем около 0кг</v>
      </c>
      <c r="C121" s="31"/>
      <c r="D121" s="32">
        <v>1</v>
      </c>
      <c r="E121" s="32"/>
      <c r="F121" s="40"/>
      <c r="G121" s="39">
        <v>0</v>
      </c>
      <c r="H121" s="39">
        <v>2</v>
      </c>
      <c r="I121" s="39"/>
      <c r="J121" s="30"/>
      <c r="K121" s="39">
        <v>0</v>
      </c>
      <c r="L121" s="39">
        <v>2</v>
      </c>
      <c r="M121" s="39"/>
      <c r="O121" s="86"/>
      <c r="Q121" s="45" t="str">
        <f>IF(E121="", "", IF(E121&gt;12, C121+5, IF(E121&lt;10, C121-5, C121)))</f>
        <v/>
      </c>
      <c r="R121" s="32">
        <v>1</v>
      </c>
      <c r="S121" s="32"/>
      <c r="T121" s="40"/>
      <c r="U121" s="39">
        <v>0</v>
      </c>
      <c r="V121" s="39">
        <v>2</v>
      </c>
      <c r="W121" s="39"/>
      <c r="X121" s="30"/>
      <c r="Y121" s="39">
        <v>0</v>
      </c>
      <c r="Z121" s="39">
        <v>2</v>
      </c>
      <c r="AA121" s="39"/>
      <c r="AC121" s="86"/>
      <c r="AD121" s="35"/>
      <c r="AE121" s="45" t="str">
        <f>IF(S121="", "", IF(S121&gt;12, Q121+5, IF(S121&lt;10, Q121-5, Q121)))</f>
        <v/>
      </c>
      <c r="AF121" s="32">
        <v>1</v>
      </c>
      <c r="AG121" s="32"/>
      <c r="AH121" s="40"/>
      <c r="AI121" s="39">
        <v>0</v>
      </c>
      <c r="AJ121" s="39">
        <v>2</v>
      </c>
      <c r="AK121" s="39"/>
      <c r="AL121" s="30"/>
      <c r="AM121" s="39">
        <v>0</v>
      </c>
      <c r="AN121" s="39">
        <v>2</v>
      </c>
      <c r="AO121" s="39"/>
      <c r="AP121" s="35"/>
      <c r="AQ121" s="86"/>
      <c r="AR121" s="35"/>
      <c r="AS121" s="45" t="str">
        <f>IF(AG121="", "", IF(AG121&gt;12, AE121+5, IF(AG121&lt;10, AE121-5, AE121)))</f>
        <v/>
      </c>
      <c r="AT121" s="32">
        <v>1</v>
      </c>
      <c r="AU121" s="32"/>
      <c r="AV121" s="40"/>
      <c r="AW121" s="39">
        <v>0</v>
      </c>
      <c r="AX121" s="39">
        <v>2</v>
      </c>
      <c r="AY121" s="39"/>
      <c r="AZ121" s="30"/>
      <c r="BA121" s="39">
        <v>0</v>
      </c>
      <c r="BB121" s="39">
        <v>2</v>
      </c>
      <c r="BC121" s="39"/>
      <c r="BD121" s="35"/>
      <c r="BE121" s="86"/>
      <c r="BF121" s="35"/>
      <c r="BG121" s="45" t="str">
        <f>IF(AU121="", "", IF(AU121&gt;12, AS121+5, IF(AU121&lt;10, AS121-5, AS121)))</f>
        <v/>
      </c>
      <c r="BH121" s="32">
        <v>1</v>
      </c>
      <c r="BI121" s="32"/>
      <c r="BJ121" s="40"/>
      <c r="BK121" s="39">
        <v>0</v>
      </c>
      <c r="BL121" s="39">
        <v>2</v>
      </c>
      <c r="BM121" s="39"/>
      <c r="BN121" s="30"/>
      <c r="BO121" s="39">
        <v>0</v>
      </c>
      <c r="BP121" s="39">
        <v>2</v>
      </c>
      <c r="BQ121" s="39"/>
      <c r="BR121" s="35"/>
      <c r="BS121" s="86"/>
      <c r="BT121" s="35"/>
      <c r="BU121" s="45" t="str">
        <f>IF(BI121="", "", IF(BI121&gt;12, BG121+5, IF(BI121&lt;10, BG121-5, BG121)))</f>
        <v/>
      </c>
      <c r="BV121" s="32">
        <v>1</v>
      </c>
      <c r="BW121" s="32"/>
      <c r="BX121" s="40"/>
      <c r="BY121" s="39">
        <v>0</v>
      </c>
      <c r="BZ121" s="39">
        <v>2</v>
      </c>
      <c r="CA121" s="39"/>
      <c r="CB121" s="30"/>
      <c r="CC121" s="39">
        <v>0</v>
      </c>
      <c r="CD121" s="39">
        <v>2</v>
      </c>
      <c r="CE121" s="39"/>
      <c r="CF121" s="35"/>
      <c r="CG121" s="86"/>
      <c r="CH121" s="35"/>
      <c r="CI121" s="45" t="str">
        <f>IF(BW121="", "", IF(BW121&gt;12, BU121+5, IF(BW121&lt;10, BU121-5, BU121)))</f>
        <v/>
      </c>
      <c r="CJ121" s="32">
        <v>1</v>
      </c>
      <c r="CK121" s="32"/>
      <c r="CL121" s="40"/>
      <c r="CM121" s="39">
        <v>0</v>
      </c>
      <c r="CN121" s="39">
        <v>2</v>
      </c>
      <c r="CO121" s="39"/>
      <c r="CP121" s="30"/>
      <c r="CQ121" s="39">
        <v>0</v>
      </c>
      <c r="CR121" s="39">
        <v>2</v>
      </c>
      <c r="CS121" s="39"/>
      <c r="CT121" s="35"/>
      <c r="CU121" s="86"/>
      <c r="CV121" s="35"/>
      <c r="CW121" s="45" t="str">
        <f>IF(CK121="", "", IF(CK121&gt;12, CI121+5, IF(CK121&lt;10, CI121-5, CI121)))</f>
        <v/>
      </c>
      <c r="CX121" s="32">
        <v>1</v>
      </c>
      <c r="CY121" s="32"/>
      <c r="CZ121" s="40"/>
      <c r="DA121" s="39">
        <v>0</v>
      </c>
      <c r="DB121" s="39">
        <v>2</v>
      </c>
      <c r="DC121" s="39"/>
      <c r="DD121" s="30"/>
      <c r="DE121" s="39">
        <v>0</v>
      </c>
      <c r="DF121" s="39">
        <v>2</v>
      </c>
      <c r="DG121" s="39"/>
      <c r="DH121" s="35"/>
      <c r="DI121" s="86"/>
      <c r="DJ121" s="35"/>
      <c r="DK121" s="45" t="str">
        <f>IF(CY121="", "", IF(CY121&gt;12, CW121+5, IF(CY121&lt;10, CW121-5, CW121)))</f>
        <v/>
      </c>
      <c r="DL121" s="32">
        <v>1</v>
      </c>
      <c r="DM121" s="32"/>
      <c r="DN121" s="40"/>
      <c r="DO121" s="39">
        <v>0</v>
      </c>
      <c r="DP121" s="39">
        <v>2</v>
      </c>
      <c r="DQ121" s="39"/>
      <c r="DR121" s="30"/>
      <c r="DS121" s="39">
        <v>0</v>
      </c>
      <c r="DT121" s="39">
        <v>2</v>
      </c>
      <c r="DU121" s="39"/>
      <c r="DV121" s="35"/>
      <c r="DW121" s="86"/>
      <c r="DX121" s="35"/>
      <c r="DY121" s="45" t="str">
        <f>IF(DM121="", "", IF(DM121&gt;12, DK121+5, IF(DM121&lt;10, DK121-5, DK121)))</f>
        <v/>
      </c>
      <c r="DZ121" s="32">
        <v>1</v>
      </c>
      <c r="EA121" s="32"/>
      <c r="EB121" s="40"/>
      <c r="EC121" s="39">
        <v>0</v>
      </c>
      <c r="ED121" s="39">
        <v>2</v>
      </c>
      <c r="EE121" s="39"/>
      <c r="EF121" s="30"/>
      <c r="EG121" s="39">
        <v>0</v>
      </c>
      <c r="EH121" s="39">
        <v>2</v>
      </c>
      <c r="EI121" s="39"/>
      <c r="EJ121" s="35"/>
      <c r="EK121" s="86"/>
      <c r="EL121" s="35"/>
      <c r="EM121" s="45" t="str">
        <f>IF(EA121="", "", IF(EA121&gt;12, DY121+5, IF(EA121&lt;10, DY121-5, DY121)))</f>
        <v/>
      </c>
      <c r="EN121" s="32">
        <v>1</v>
      </c>
      <c r="EO121" s="32"/>
      <c r="EP121" s="40"/>
      <c r="EQ121" s="39">
        <v>0</v>
      </c>
      <c r="ER121" s="39">
        <v>2</v>
      </c>
      <c r="ES121" s="39"/>
      <c r="ET121" s="30"/>
      <c r="EU121" s="39">
        <v>0</v>
      </c>
      <c r="EV121" s="39">
        <v>2</v>
      </c>
      <c r="EW121" s="39"/>
      <c r="EX121" s="35"/>
      <c r="EY121" s="86"/>
      <c r="EZ121" s="35"/>
      <c r="FA121" s="45" t="str">
        <f>IF(EO121="", "", IF(EO121&gt;12, EM121+5, IF(EO121&lt;10, EM121-5, EM121)))</f>
        <v/>
      </c>
      <c r="FB121" s="32">
        <v>1</v>
      </c>
      <c r="FC121" s="32"/>
      <c r="FD121" s="40"/>
      <c r="FE121" s="39">
        <v>0</v>
      </c>
      <c r="FF121" s="39">
        <v>2</v>
      </c>
      <c r="FG121" s="39"/>
      <c r="FH121" s="30"/>
      <c r="FI121" s="39">
        <v>0</v>
      </c>
      <c r="FJ121" s="39">
        <v>2</v>
      </c>
      <c r="FK121" s="39"/>
      <c r="FL121" s="35"/>
      <c r="FM121" s="86"/>
    </row>
    <row r="122" spans="1:169" ht="15.75" customHeight="1">
      <c r="A122" s="86"/>
      <c r="C122" s="31"/>
      <c r="D122" s="32">
        <v>2</v>
      </c>
      <c r="E122" s="32"/>
      <c r="F122" s="40"/>
      <c r="G122" s="39">
        <v>0</v>
      </c>
      <c r="H122" s="39">
        <v>3</v>
      </c>
      <c r="I122" s="39"/>
      <c r="J122" s="40"/>
      <c r="K122" s="39">
        <v>0</v>
      </c>
      <c r="L122" s="39">
        <v>3</v>
      </c>
      <c r="M122" s="39"/>
      <c r="O122" s="86"/>
      <c r="Q122" s="45" t="str">
        <f>IF(E121="", "", IF(E121&gt;12, C121+5, IF(E121&lt;10, C121-5, C121)))</f>
        <v/>
      </c>
      <c r="R122" s="32">
        <v>2</v>
      </c>
      <c r="S122" s="32"/>
      <c r="T122" s="40"/>
      <c r="U122" s="39">
        <v>0</v>
      </c>
      <c r="V122" s="39">
        <v>3</v>
      </c>
      <c r="W122" s="39"/>
      <c r="X122" s="40"/>
      <c r="Y122" s="39">
        <v>0</v>
      </c>
      <c r="Z122" s="39">
        <v>3</v>
      </c>
      <c r="AA122" s="39"/>
      <c r="AC122" s="86"/>
      <c r="AD122" s="35"/>
      <c r="AE122" s="45" t="str">
        <f>IF(S121="", "", IF(S121&gt;12, Q121+5, IF(S121&lt;10, Q121-5, Q121)))</f>
        <v/>
      </c>
      <c r="AF122" s="32">
        <v>2</v>
      </c>
      <c r="AG122" s="32"/>
      <c r="AH122" s="40"/>
      <c r="AI122" s="39">
        <v>0</v>
      </c>
      <c r="AJ122" s="39">
        <v>3</v>
      </c>
      <c r="AK122" s="39"/>
      <c r="AL122" s="40"/>
      <c r="AM122" s="39">
        <v>0</v>
      </c>
      <c r="AN122" s="39">
        <v>3</v>
      </c>
      <c r="AO122" s="39"/>
      <c r="AP122" s="35"/>
      <c r="AQ122" s="86"/>
      <c r="AR122" s="35"/>
      <c r="AS122" s="45" t="str">
        <f>IF(AG121="", "", IF(AG121&gt;12, AE121+5, IF(AG121&lt;10, AE121-5, AE121)))</f>
        <v/>
      </c>
      <c r="AT122" s="32">
        <v>2</v>
      </c>
      <c r="AU122" s="32"/>
      <c r="AV122" s="40"/>
      <c r="AW122" s="39">
        <v>0</v>
      </c>
      <c r="AX122" s="39">
        <v>3</v>
      </c>
      <c r="AY122" s="39"/>
      <c r="AZ122" s="40"/>
      <c r="BA122" s="39">
        <v>0</v>
      </c>
      <c r="BB122" s="39">
        <v>3</v>
      </c>
      <c r="BC122" s="39"/>
      <c r="BD122" s="35"/>
      <c r="BE122" s="86"/>
      <c r="BF122" s="35"/>
      <c r="BG122" s="45" t="str">
        <f>IF(AU121="", "", IF(AU121&gt;12, AS121+5, IF(AU121&lt;10, AS121-5, AS121)))</f>
        <v/>
      </c>
      <c r="BH122" s="32">
        <v>2</v>
      </c>
      <c r="BI122" s="32"/>
      <c r="BJ122" s="40"/>
      <c r="BK122" s="39">
        <v>0</v>
      </c>
      <c r="BL122" s="39">
        <v>3</v>
      </c>
      <c r="BM122" s="39"/>
      <c r="BN122" s="40"/>
      <c r="BO122" s="39">
        <v>0</v>
      </c>
      <c r="BP122" s="39">
        <v>3</v>
      </c>
      <c r="BQ122" s="39"/>
      <c r="BR122" s="35"/>
      <c r="BS122" s="86"/>
      <c r="BT122" s="35"/>
      <c r="BU122" s="45" t="str">
        <f>IF(BI121="", "", IF(BI121&gt;12, BG121+5, IF(BI121&lt;10, BG121-5, BG121)))</f>
        <v/>
      </c>
      <c r="BV122" s="32">
        <v>2</v>
      </c>
      <c r="BW122" s="32"/>
      <c r="BX122" s="40"/>
      <c r="BY122" s="39">
        <v>0</v>
      </c>
      <c r="BZ122" s="39">
        <v>3</v>
      </c>
      <c r="CA122" s="39"/>
      <c r="CB122" s="40"/>
      <c r="CC122" s="39">
        <v>0</v>
      </c>
      <c r="CD122" s="39">
        <v>3</v>
      </c>
      <c r="CE122" s="39"/>
      <c r="CF122" s="35"/>
      <c r="CG122" s="86"/>
      <c r="CH122" s="35"/>
      <c r="CI122" s="45" t="str">
        <f>IF(BW121="", "", IF(BW121&gt;12, BU121+5, IF(BW121&lt;10, BU121-5, BU121)))</f>
        <v/>
      </c>
      <c r="CJ122" s="32">
        <v>2</v>
      </c>
      <c r="CK122" s="32"/>
      <c r="CL122" s="40"/>
      <c r="CM122" s="39">
        <v>0</v>
      </c>
      <c r="CN122" s="39">
        <v>3</v>
      </c>
      <c r="CO122" s="39"/>
      <c r="CP122" s="40"/>
      <c r="CQ122" s="39">
        <v>0</v>
      </c>
      <c r="CR122" s="39">
        <v>3</v>
      </c>
      <c r="CS122" s="39"/>
      <c r="CT122" s="35"/>
      <c r="CU122" s="86"/>
      <c r="CV122" s="35"/>
      <c r="CW122" s="45" t="str">
        <f>IF(CK121="", "", IF(CK121&gt;12, CI121+5, IF(CK121&lt;10, CI121-5, CI121)))</f>
        <v/>
      </c>
      <c r="CX122" s="32">
        <v>2</v>
      </c>
      <c r="CY122" s="32"/>
      <c r="CZ122" s="40"/>
      <c r="DA122" s="39">
        <v>0</v>
      </c>
      <c r="DB122" s="39">
        <v>3</v>
      </c>
      <c r="DC122" s="39"/>
      <c r="DD122" s="40"/>
      <c r="DE122" s="39">
        <v>0</v>
      </c>
      <c r="DF122" s="39">
        <v>3</v>
      </c>
      <c r="DG122" s="39"/>
      <c r="DH122" s="35"/>
      <c r="DI122" s="86"/>
      <c r="DJ122" s="35"/>
      <c r="DK122" s="45" t="str">
        <f>IF(CY121="", "", IF(CY121&gt;12, CW121+5, IF(CY121&lt;10, CW121-5, CW121)))</f>
        <v/>
      </c>
      <c r="DL122" s="32">
        <v>2</v>
      </c>
      <c r="DM122" s="32"/>
      <c r="DN122" s="40"/>
      <c r="DO122" s="39">
        <v>0</v>
      </c>
      <c r="DP122" s="39">
        <v>3</v>
      </c>
      <c r="DQ122" s="39"/>
      <c r="DR122" s="40"/>
      <c r="DS122" s="39">
        <v>0</v>
      </c>
      <c r="DT122" s="39">
        <v>3</v>
      </c>
      <c r="DU122" s="39"/>
      <c r="DV122" s="35"/>
      <c r="DW122" s="86"/>
      <c r="DX122" s="35"/>
      <c r="DY122" s="45" t="str">
        <f>IF(DM121="", "", IF(DM121&gt;12, DK121+5, IF(DM121&lt;10, DK121-5, DK121)))</f>
        <v/>
      </c>
      <c r="DZ122" s="32">
        <v>2</v>
      </c>
      <c r="EA122" s="32"/>
      <c r="EB122" s="40"/>
      <c r="EC122" s="39">
        <v>0</v>
      </c>
      <c r="ED122" s="39">
        <v>3</v>
      </c>
      <c r="EE122" s="39"/>
      <c r="EF122" s="40"/>
      <c r="EG122" s="39">
        <v>0</v>
      </c>
      <c r="EH122" s="39">
        <v>3</v>
      </c>
      <c r="EI122" s="39"/>
      <c r="EJ122" s="35"/>
      <c r="EK122" s="86"/>
      <c r="EL122" s="35"/>
      <c r="EM122" s="45" t="str">
        <f>IF(EA121="", "", IF(EA121&gt;12, DY121+5, IF(EA121&lt;10, DY121-5, DY121)))</f>
        <v/>
      </c>
      <c r="EN122" s="32">
        <v>2</v>
      </c>
      <c r="EO122" s="32"/>
      <c r="EP122" s="40"/>
      <c r="EQ122" s="39">
        <v>0</v>
      </c>
      <c r="ER122" s="39">
        <v>3</v>
      </c>
      <c r="ES122" s="39"/>
      <c r="ET122" s="40"/>
      <c r="EU122" s="39">
        <v>0</v>
      </c>
      <c r="EV122" s="39">
        <v>3</v>
      </c>
      <c r="EW122" s="39"/>
      <c r="EX122" s="35"/>
      <c r="EY122" s="86"/>
      <c r="EZ122" s="35"/>
      <c r="FA122" s="45" t="str">
        <f>IF(EO121="", "", IF(EO121&gt;12, EM121+5, IF(EO121&lt;10, EM121-5, EM121)))</f>
        <v/>
      </c>
      <c r="FB122" s="32">
        <v>2</v>
      </c>
      <c r="FC122" s="32"/>
      <c r="FD122" s="40"/>
      <c r="FE122" s="39">
        <v>0</v>
      </c>
      <c r="FF122" s="39">
        <v>3</v>
      </c>
      <c r="FG122" s="39"/>
      <c r="FH122" s="40"/>
      <c r="FI122" s="39">
        <v>0</v>
      </c>
      <c r="FJ122" s="39">
        <v>3</v>
      </c>
      <c r="FK122" s="39"/>
      <c r="FL122" s="35"/>
      <c r="FM122" s="86"/>
    </row>
    <row r="123" spans="1:169" ht="15.75" customHeight="1">
      <c r="A123" s="86"/>
      <c r="B123" s="30"/>
      <c r="C123" s="31"/>
      <c r="D123" s="32"/>
      <c r="E123" s="32"/>
      <c r="F123" s="40"/>
      <c r="G123" s="41"/>
      <c r="H123" s="40"/>
      <c r="I123" s="40"/>
      <c r="J123" s="40"/>
      <c r="K123" s="28"/>
      <c r="L123" s="28"/>
      <c r="M123" s="28"/>
      <c r="O123" s="86"/>
      <c r="Q123" s="45"/>
      <c r="R123" s="32"/>
      <c r="S123" s="32"/>
      <c r="T123" s="40"/>
      <c r="U123" s="41"/>
      <c r="V123" s="40"/>
      <c r="W123" s="40"/>
      <c r="X123" s="40"/>
      <c r="Y123" s="28"/>
      <c r="Z123" s="28"/>
      <c r="AA123" s="28"/>
      <c r="AC123" s="86"/>
      <c r="AD123" s="35"/>
      <c r="AE123" s="45"/>
      <c r="AF123" s="32"/>
      <c r="AG123" s="32"/>
      <c r="AH123" s="40"/>
      <c r="AI123" s="41"/>
      <c r="AJ123" s="40"/>
      <c r="AK123" s="40"/>
      <c r="AL123" s="40"/>
      <c r="AM123" s="28"/>
      <c r="AN123" s="28"/>
      <c r="AO123" s="28"/>
      <c r="AP123" s="35"/>
      <c r="AQ123" s="86"/>
      <c r="AR123" s="35"/>
      <c r="AS123" s="45"/>
      <c r="AT123" s="32"/>
      <c r="AU123" s="32"/>
      <c r="AV123" s="40"/>
      <c r="AW123" s="41"/>
      <c r="AX123" s="40"/>
      <c r="AY123" s="40"/>
      <c r="AZ123" s="40"/>
      <c r="BA123" s="28"/>
      <c r="BB123" s="28"/>
      <c r="BC123" s="28"/>
      <c r="BD123" s="35"/>
      <c r="BE123" s="86"/>
      <c r="BF123" s="35"/>
      <c r="BG123" s="45"/>
      <c r="BH123" s="32"/>
      <c r="BI123" s="32"/>
      <c r="BJ123" s="40"/>
      <c r="BK123" s="41"/>
      <c r="BL123" s="40"/>
      <c r="BM123" s="40"/>
      <c r="BN123" s="40"/>
      <c r="BO123" s="28"/>
      <c r="BP123" s="28"/>
      <c r="BQ123" s="28"/>
      <c r="BR123" s="35"/>
      <c r="BS123" s="86"/>
      <c r="BT123" s="35"/>
      <c r="BU123" s="45"/>
      <c r="BV123" s="32"/>
      <c r="BW123" s="32"/>
      <c r="BX123" s="40"/>
      <c r="BY123" s="41"/>
      <c r="BZ123" s="40"/>
      <c r="CA123" s="40"/>
      <c r="CB123" s="40"/>
      <c r="CC123" s="28"/>
      <c r="CD123" s="28"/>
      <c r="CE123" s="28"/>
      <c r="CF123" s="35"/>
      <c r="CG123" s="86"/>
      <c r="CH123" s="35"/>
      <c r="CI123" s="45"/>
      <c r="CJ123" s="32"/>
      <c r="CK123" s="32"/>
      <c r="CL123" s="40"/>
      <c r="CM123" s="41"/>
      <c r="CN123" s="40"/>
      <c r="CO123" s="40"/>
      <c r="CP123" s="40"/>
      <c r="CQ123" s="28"/>
      <c r="CR123" s="28"/>
      <c r="CS123" s="28"/>
      <c r="CT123" s="35"/>
      <c r="CU123" s="86"/>
      <c r="CV123" s="35"/>
      <c r="CW123" s="45"/>
      <c r="CX123" s="32"/>
      <c r="CY123" s="32"/>
      <c r="CZ123" s="40"/>
      <c r="DA123" s="41"/>
      <c r="DB123" s="40"/>
      <c r="DC123" s="40"/>
      <c r="DD123" s="40"/>
      <c r="DE123" s="28"/>
      <c r="DF123" s="28"/>
      <c r="DG123" s="28"/>
      <c r="DH123" s="35"/>
      <c r="DI123" s="86"/>
      <c r="DJ123" s="35"/>
      <c r="DK123" s="45"/>
      <c r="DL123" s="32"/>
      <c r="DM123" s="32"/>
      <c r="DN123" s="40"/>
      <c r="DO123" s="41"/>
      <c r="DP123" s="40"/>
      <c r="DQ123" s="40"/>
      <c r="DR123" s="40"/>
      <c r="DS123" s="28"/>
      <c r="DT123" s="28"/>
      <c r="DU123" s="28"/>
      <c r="DV123" s="35"/>
      <c r="DW123" s="86"/>
      <c r="DX123" s="35"/>
      <c r="DY123" s="45"/>
      <c r="DZ123" s="32"/>
      <c r="EA123" s="32"/>
      <c r="EB123" s="40"/>
      <c r="EC123" s="41"/>
      <c r="ED123" s="40"/>
      <c r="EE123" s="40"/>
      <c r="EF123" s="40"/>
      <c r="EG123" s="28"/>
      <c r="EH123" s="28"/>
      <c r="EI123" s="28"/>
      <c r="EJ123" s="35"/>
      <c r="EK123" s="86"/>
      <c r="EL123" s="35"/>
      <c r="EM123" s="45"/>
      <c r="EN123" s="32"/>
      <c r="EO123" s="32"/>
      <c r="EP123" s="40"/>
      <c r="EQ123" s="41"/>
      <c r="ER123" s="40"/>
      <c r="ES123" s="40"/>
      <c r="ET123" s="40"/>
      <c r="EU123" s="28"/>
      <c r="EV123" s="28"/>
      <c r="EW123" s="28"/>
      <c r="EX123" s="35"/>
      <c r="EY123" s="86"/>
      <c r="EZ123" s="35"/>
      <c r="FA123" s="45"/>
      <c r="FB123" s="32"/>
      <c r="FC123" s="32"/>
      <c r="FD123" s="40"/>
      <c r="FE123" s="41"/>
      <c r="FF123" s="40"/>
      <c r="FG123" s="40"/>
      <c r="FH123" s="40"/>
      <c r="FI123" s="28"/>
      <c r="FJ123" s="28"/>
      <c r="FK123" s="28"/>
      <c r="FL123" s="35"/>
      <c r="FM123" s="86"/>
    </row>
    <row r="124" spans="1:169" ht="15.75" customHeight="1">
      <c r="A124" s="86"/>
      <c r="C124" s="62" t="s">
        <v>15</v>
      </c>
      <c r="D124" s="63"/>
      <c r="E124" s="64"/>
      <c r="F124" s="40"/>
      <c r="G124" s="67" t="s">
        <v>52</v>
      </c>
      <c r="H124" s="59"/>
      <c r="I124" s="59"/>
      <c r="J124" s="40"/>
      <c r="K124" s="58" t="s">
        <v>19</v>
      </c>
      <c r="L124" s="59"/>
      <c r="M124" s="59"/>
      <c r="O124" s="86"/>
      <c r="Q124" s="62" t="s">
        <v>15</v>
      </c>
      <c r="R124" s="63"/>
      <c r="S124" s="64"/>
      <c r="T124" s="40"/>
      <c r="U124" s="67" t="s">
        <v>52</v>
      </c>
      <c r="V124" s="59"/>
      <c r="W124" s="59"/>
      <c r="X124" s="40"/>
      <c r="Y124" s="58" t="s">
        <v>19</v>
      </c>
      <c r="Z124" s="59"/>
      <c r="AA124" s="59"/>
      <c r="AC124" s="86"/>
      <c r="AD124" s="35"/>
      <c r="AE124" s="62" t="s">
        <v>15</v>
      </c>
      <c r="AF124" s="63"/>
      <c r="AG124" s="64"/>
      <c r="AH124" s="40"/>
      <c r="AI124" s="67" t="s">
        <v>52</v>
      </c>
      <c r="AJ124" s="59"/>
      <c r="AK124" s="59"/>
      <c r="AL124" s="40"/>
      <c r="AM124" s="58" t="s">
        <v>19</v>
      </c>
      <c r="AN124" s="59"/>
      <c r="AO124" s="59"/>
      <c r="AP124" s="35"/>
      <c r="AQ124" s="86"/>
      <c r="AR124" s="35"/>
      <c r="AS124" s="62" t="s">
        <v>15</v>
      </c>
      <c r="AT124" s="63"/>
      <c r="AU124" s="64"/>
      <c r="AV124" s="40"/>
      <c r="AW124" s="67" t="s">
        <v>52</v>
      </c>
      <c r="AX124" s="59"/>
      <c r="AY124" s="59"/>
      <c r="AZ124" s="40"/>
      <c r="BA124" s="58" t="s">
        <v>19</v>
      </c>
      <c r="BB124" s="59"/>
      <c r="BC124" s="59"/>
      <c r="BD124" s="35"/>
      <c r="BE124" s="86"/>
      <c r="BF124" s="35"/>
      <c r="BG124" s="62" t="s">
        <v>15</v>
      </c>
      <c r="BH124" s="63"/>
      <c r="BI124" s="64"/>
      <c r="BJ124" s="40"/>
      <c r="BK124" s="67" t="s">
        <v>52</v>
      </c>
      <c r="BL124" s="59"/>
      <c r="BM124" s="59"/>
      <c r="BN124" s="40"/>
      <c r="BO124" s="58" t="s">
        <v>19</v>
      </c>
      <c r="BP124" s="59"/>
      <c r="BQ124" s="59"/>
      <c r="BR124" s="35"/>
      <c r="BS124" s="86"/>
      <c r="BT124" s="35"/>
      <c r="BU124" s="62" t="s">
        <v>15</v>
      </c>
      <c r="BV124" s="63"/>
      <c r="BW124" s="64"/>
      <c r="BX124" s="40"/>
      <c r="BY124" s="67" t="s">
        <v>52</v>
      </c>
      <c r="BZ124" s="59"/>
      <c r="CA124" s="59"/>
      <c r="CB124" s="40"/>
      <c r="CC124" s="58" t="s">
        <v>19</v>
      </c>
      <c r="CD124" s="59"/>
      <c r="CE124" s="59"/>
      <c r="CF124" s="35"/>
      <c r="CG124" s="86"/>
      <c r="CH124" s="35"/>
      <c r="CI124" s="62" t="s">
        <v>15</v>
      </c>
      <c r="CJ124" s="63"/>
      <c r="CK124" s="64"/>
      <c r="CL124" s="40"/>
      <c r="CM124" s="67" t="s">
        <v>52</v>
      </c>
      <c r="CN124" s="59"/>
      <c r="CO124" s="59"/>
      <c r="CP124" s="40"/>
      <c r="CQ124" s="58" t="s">
        <v>19</v>
      </c>
      <c r="CR124" s="59"/>
      <c r="CS124" s="59"/>
      <c r="CT124" s="35"/>
      <c r="CU124" s="86"/>
      <c r="CV124" s="35"/>
      <c r="CW124" s="62" t="s">
        <v>15</v>
      </c>
      <c r="CX124" s="63"/>
      <c r="CY124" s="64"/>
      <c r="CZ124" s="40"/>
      <c r="DA124" s="67" t="s">
        <v>52</v>
      </c>
      <c r="DB124" s="59"/>
      <c r="DC124" s="59"/>
      <c r="DD124" s="40"/>
      <c r="DE124" s="58" t="s">
        <v>19</v>
      </c>
      <c r="DF124" s="59"/>
      <c r="DG124" s="59"/>
      <c r="DH124" s="35"/>
      <c r="DI124" s="86"/>
      <c r="DJ124" s="35"/>
      <c r="DK124" s="62" t="s">
        <v>15</v>
      </c>
      <c r="DL124" s="63"/>
      <c r="DM124" s="64"/>
      <c r="DN124" s="40"/>
      <c r="DO124" s="67" t="s">
        <v>52</v>
      </c>
      <c r="DP124" s="59"/>
      <c r="DQ124" s="59"/>
      <c r="DR124" s="40"/>
      <c r="DS124" s="58" t="s">
        <v>19</v>
      </c>
      <c r="DT124" s="59"/>
      <c r="DU124" s="59"/>
      <c r="DV124" s="35"/>
      <c r="DW124" s="86"/>
      <c r="DX124" s="35"/>
      <c r="DY124" s="62" t="s">
        <v>15</v>
      </c>
      <c r="DZ124" s="63"/>
      <c r="EA124" s="64"/>
      <c r="EB124" s="40"/>
      <c r="EC124" s="67" t="s">
        <v>52</v>
      </c>
      <c r="ED124" s="59"/>
      <c r="EE124" s="59"/>
      <c r="EF124" s="40"/>
      <c r="EG124" s="58" t="s">
        <v>19</v>
      </c>
      <c r="EH124" s="59"/>
      <c r="EI124" s="59"/>
      <c r="EJ124" s="35"/>
      <c r="EK124" s="86"/>
      <c r="EL124" s="35"/>
      <c r="EM124" s="62" t="s">
        <v>15</v>
      </c>
      <c r="EN124" s="63"/>
      <c r="EO124" s="64"/>
      <c r="EP124" s="40"/>
      <c r="EQ124" s="67" t="s">
        <v>52</v>
      </c>
      <c r="ER124" s="59"/>
      <c r="ES124" s="59"/>
      <c r="ET124" s="40"/>
      <c r="EU124" s="58" t="s">
        <v>19</v>
      </c>
      <c r="EV124" s="59"/>
      <c r="EW124" s="59"/>
      <c r="EX124" s="35"/>
      <c r="EY124" s="86"/>
      <c r="EZ124" s="35"/>
      <c r="FA124" s="62" t="s">
        <v>15</v>
      </c>
      <c r="FB124" s="63"/>
      <c r="FC124" s="64"/>
      <c r="FD124" s="40"/>
      <c r="FE124" s="67" t="s">
        <v>52</v>
      </c>
      <c r="FF124" s="59"/>
      <c r="FG124" s="59"/>
      <c r="FH124" s="40"/>
      <c r="FI124" s="58" t="s">
        <v>19</v>
      </c>
      <c r="FJ124" s="59"/>
      <c r="FK124" s="59"/>
      <c r="FL124" s="35"/>
      <c r="FM124" s="86"/>
    </row>
    <row r="125" spans="1:169" ht="15.75" customHeight="1">
      <c r="A125" s="86"/>
      <c r="C125" s="31" t="s">
        <v>4</v>
      </c>
      <c r="D125" s="32" t="s">
        <v>38</v>
      </c>
      <c r="E125" s="32" t="s">
        <v>39</v>
      </c>
      <c r="F125" s="40"/>
      <c r="G125" s="39" t="s">
        <v>4</v>
      </c>
      <c r="H125" s="39" t="s">
        <v>38</v>
      </c>
      <c r="I125" s="39" t="s">
        <v>39</v>
      </c>
      <c r="J125" s="40"/>
      <c r="K125" s="31" t="s">
        <v>4</v>
      </c>
      <c r="L125" s="32" t="s">
        <v>38</v>
      </c>
      <c r="M125" s="32" t="s">
        <v>39</v>
      </c>
      <c r="O125" s="86"/>
      <c r="Q125" s="31" t="s">
        <v>4</v>
      </c>
      <c r="R125" s="32" t="s">
        <v>38</v>
      </c>
      <c r="S125" s="32" t="s">
        <v>39</v>
      </c>
      <c r="T125" s="40"/>
      <c r="U125" s="39" t="s">
        <v>4</v>
      </c>
      <c r="V125" s="39" t="s">
        <v>38</v>
      </c>
      <c r="W125" s="39" t="s">
        <v>39</v>
      </c>
      <c r="X125" s="40"/>
      <c r="Y125" s="31" t="s">
        <v>4</v>
      </c>
      <c r="Z125" s="32" t="s">
        <v>38</v>
      </c>
      <c r="AA125" s="32" t="s">
        <v>39</v>
      </c>
      <c r="AC125" s="86"/>
      <c r="AD125" s="35"/>
      <c r="AE125" s="31" t="s">
        <v>4</v>
      </c>
      <c r="AF125" s="32" t="s">
        <v>38</v>
      </c>
      <c r="AG125" s="32" t="s">
        <v>39</v>
      </c>
      <c r="AH125" s="40"/>
      <c r="AI125" s="39" t="s">
        <v>4</v>
      </c>
      <c r="AJ125" s="39" t="s">
        <v>38</v>
      </c>
      <c r="AK125" s="39" t="s">
        <v>39</v>
      </c>
      <c r="AL125" s="40"/>
      <c r="AM125" s="31" t="s">
        <v>4</v>
      </c>
      <c r="AN125" s="32" t="s">
        <v>38</v>
      </c>
      <c r="AO125" s="32" t="s">
        <v>39</v>
      </c>
      <c r="AP125" s="35"/>
      <c r="AQ125" s="86"/>
      <c r="AR125" s="35"/>
      <c r="AS125" s="31" t="s">
        <v>4</v>
      </c>
      <c r="AT125" s="32" t="s">
        <v>38</v>
      </c>
      <c r="AU125" s="32" t="s">
        <v>39</v>
      </c>
      <c r="AV125" s="40"/>
      <c r="AW125" s="39" t="s">
        <v>4</v>
      </c>
      <c r="AX125" s="39" t="s">
        <v>38</v>
      </c>
      <c r="AY125" s="39" t="s">
        <v>39</v>
      </c>
      <c r="AZ125" s="40"/>
      <c r="BA125" s="31" t="s">
        <v>4</v>
      </c>
      <c r="BB125" s="32" t="s">
        <v>38</v>
      </c>
      <c r="BC125" s="32" t="s">
        <v>39</v>
      </c>
      <c r="BD125" s="35"/>
      <c r="BE125" s="86"/>
      <c r="BF125" s="35"/>
      <c r="BG125" s="31" t="s">
        <v>4</v>
      </c>
      <c r="BH125" s="32" t="s">
        <v>38</v>
      </c>
      <c r="BI125" s="32" t="s">
        <v>39</v>
      </c>
      <c r="BJ125" s="40"/>
      <c r="BK125" s="39" t="s">
        <v>4</v>
      </c>
      <c r="BL125" s="39" t="s">
        <v>38</v>
      </c>
      <c r="BM125" s="39" t="s">
        <v>39</v>
      </c>
      <c r="BN125" s="40"/>
      <c r="BO125" s="31" t="s">
        <v>4</v>
      </c>
      <c r="BP125" s="32" t="s">
        <v>38</v>
      </c>
      <c r="BQ125" s="32" t="s">
        <v>39</v>
      </c>
      <c r="BR125" s="35"/>
      <c r="BS125" s="86"/>
      <c r="BT125" s="35"/>
      <c r="BU125" s="31" t="s">
        <v>4</v>
      </c>
      <c r="BV125" s="32" t="s">
        <v>38</v>
      </c>
      <c r="BW125" s="32" t="s">
        <v>39</v>
      </c>
      <c r="BX125" s="40"/>
      <c r="BY125" s="39" t="s">
        <v>4</v>
      </c>
      <c r="BZ125" s="39" t="s">
        <v>38</v>
      </c>
      <c r="CA125" s="39" t="s">
        <v>39</v>
      </c>
      <c r="CB125" s="40"/>
      <c r="CC125" s="31" t="s">
        <v>4</v>
      </c>
      <c r="CD125" s="32" t="s">
        <v>38</v>
      </c>
      <c r="CE125" s="32" t="s">
        <v>39</v>
      </c>
      <c r="CF125" s="35"/>
      <c r="CG125" s="86"/>
      <c r="CH125" s="35"/>
      <c r="CI125" s="31" t="s">
        <v>4</v>
      </c>
      <c r="CJ125" s="32" t="s">
        <v>38</v>
      </c>
      <c r="CK125" s="32" t="s">
        <v>39</v>
      </c>
      <c r="CL125" s="40"/>
      <c r="CM125" s="39" t="s">
        <v>4</v>
      </c>
      <c r="CN125" s="39" t="s">
        <v>38</v>
      </c>
      <c r="CO125" s="39" t="s">
        <v>39</v>
      </c>
      <c r="CP125" s="40"/>
      <c r="CQ125" s="31" t="s">
        <v>4</v>
      </c>
      <c r="CR125" s="32" t="s">
        <v>38</v>
      </c>
      <c r="CS125" s="32" t="s">
        <v>39</v>
      </c>
      <c r="CT125" s="35"/>
      <c r="CU125" s="86"/>
      <c r="CV125" s="35"/>
      <c r="CW125" s="31" t="s">
        <v>4</v>
      </c>
      <c r="CX125" s="32" t="s">
        <v>38</v>
      </c>
      <c r="CY125" s="32" t="s">
        <v>39</v>
      </c>
      <c r="CZ125" s="40"/>
      <c r="DA125" s="39" t="s">
        <v>4</v>
      </c>
      <c r="DB125" s="39" t="s">
        <v>38</v>
      </c>
      <c r="DC125" s="39" t="s">
        <v>39</v>
      </c>
      <c r="DD125" s="40"/>
      <c r="DE125" s="31" t="s">
        <v>4</v>
      </c>
      <c r="DF125" s="32" t="s">
        <v>38</v>
      </c>
      <c r="DG125" s="32" t="s">
        <v>39</v>
      </c>
      <c r="DH125" s="35"/>
      <c r="DI125" s="86"/>
      <c r="DJ125" s="35"/>
      <c r="DK125" s="31" t="s">
        <v>4</v>
      </c>
      <c r="DL125" s="32" t="s">
        <v>38</v>
      </c>
      <c r="DM125" s="32" t="s">
        <v>39</v>
      </c>
      <c r="DN125" s="40"/>
      <c r="DO125" s="39" t="s">
        <v>4</v>
      </c>
      <c r="DP125" s="39" t="s">
        <v>38</v>
      </c>
      <c r="DQ125" s="39" t="s">
        <v>39</v>
      </c>
      <c r="DR125" s="40"/>
      <c r="DS125" s="31" t="s">
        <v>4</v>
      </c>
      <c r="DT125" s="32" t="s">
        <v>38</v>
      </c>
      <c r="DU125" s="32" t="s">
        <v>39</v>
      </c>
      <c r="DV125" s="35"/>
      <c r="DW125" s="86"/>
      <c r="DX125" s="35"/>
      <c r="DY125" s="31" t="s">
        <v>4</v>
      </c>
      <c r="DZ125" s="32" t="s">
        <v>38</v>
      </c>
      <c r="EA125" s="32" t="s">
        <v>39</v>
      </c>
      <c r="EB125" s="40"/>
      <c r="EC125" s="39" t="s">
        <v>4</v>
      </c>
      <c r="ED125" s="39" t="s">
        <v>38</v>
      </c>
      <c r="EE125" s="39" t="s">
        <v>39</v>
      </c>
      <c r="EF125" s="40"/>
      <c r="EG125" s="31" t="s">
        <v>4</v>
      </c>
      <c r="EH125" s="32" t="s">
        <v>38</v>
      </c>
      <c r="EI125" s="32" t="s">
        <v>39</v>
      </c>
      <c r="EJ125" s="35"/>
      <c r="EK125" s="86"/>
      <c r="EL125" s="35"/>
      <c r="EM125" s="31" t="s">
        <v>4</v>
      </c>
      <c r="EN125" s="32" t="s">
        <v>38</v>
      </c>
      <c r="EO125" s="32" t="s">
        <v>39</v>
      </c>
      <c r="EP125" s="40"/>
      <c r="EQ125" s="39" t="s">
        <v>4</v>
      </c>
      <c r="ER125" s="39" t="s">
        <v>38</v>
      </c>
      <c r="ES125" s="39" t="s">
        <v>39</v>
      </c>
      <c r="ET125" s="40"/>
      <c r="EU125" s="31" t="s">
        <v>4</v>
      </c>
      <c r="EV125" s="32" t="s">
        <v>38</v>
      </c>
      <c r="EW125" s="32" t="s">
        <v>39</v>
      </c>
      <c r="EX125" s="35"/>
      <c r="EY125" s="86"/>
      <c r="EZ125" s="35"/>
      <c r="FA125" s="31" t="s">
        <v>4</v>
      </c>
      <c r="FB125" s="32" t="s">
        <v>38</v>
      </c>
      <c r="FC125" s="32" t="s">
        <v>39</v>
      </c>
      <c r="FD125" s="40"/>
      <c r="FE125" s="39" t="s">
        <v>4</v>
      </c>
      <c r="FF125" s="39" t="s">
        <v>38</v>
      </c>
      <c r="FG125" s="39" t="s">
        <v>39</v>
      </c>
      <c r="FH125" s="40"/>
      <c r="FI125" s="31" t="s">
        <v>4</v>
      </c>
      <c r="FJ125" s="32" t="s">
        <v>38</v>
      </c>
      <c r="FK125" s="32" t="s">
        <v>39</v>
      </c>
      <c r="FL125" s="35"/>
      <c r="FM125" s="86"/>
    </row>
    <row r="126" spans="1:169" ht="15.75" customHeight="1">
      <c r="A126" s="86"/>
      <c r="B126" s="30" t="str">
        <f>"берем около " &amp; INT(0.6*F24)&amp; "кг"</f>
        <v>берем около 0кг</v>
      </c>
      <c r="C126" s="31"/>
      <c r="D126" s="32">
        <v>1</v>
      </c>
      <c r="E126" s="32"/>
      <c r="F126" s="30" t="str">
        <f>"берем около " &amp; INT(0.6*F40)&amp; "кг"</f>
        <v>берем около 0кг</v>
      </c>
      <c r="G126" s="39"/>
      <c r="H126" s="39">
        <v>1</v>
      </c>
      <c r="I126" s="39"/>
      <c r="J126" s="40"/>
      <c r="K126" s="31"/>
      <c r="L126" s="32">
        <v>1</v>
      </c>
      <c r="M126" s="32"/>
      <c r="O126" s="86"/>
      <c r="Q126" s="45" t="str">
        <f>IF(E126="", "", IF(E126&gt;12, C126+5, IF(E126&lt;10, C126-5, C126)))</f>
        <v/>
      </c>
      <c r="R126" s="32">
        <v>1</v>
      </c>
      <c r="S126" s="32"/>
      <c r="T126" s="30"/>
      <c r="U126" s="45" t="str">
        <f>IF(I126="", "", IF(I126&gt;12, G126+5, IF(I126&lt;10, G126-5, G126)))</f>
        <v/>
      </c>
      <c r="V126" s="39">
        <v>1</v>
      </c>
      <c r="W126" s="39"/>
      <c r="X126" s="40"/>
      <c r="Y126" s="31" t="str">
        <f>IF(M126="", "", IF(M126&gt;20, K126+1.25, IF(M126&lt;15, K126-1.25, K126)))</f>
        <v/>
      </c>
      <c r="Z126" s="32">
        <v>1</v>
      </c>
      <c r="AA126" s="32"/>
      <c r="AC126" s="86"/>
      <c r="AD126" s="35"/>
      <c r="AE126" s="45" t="str">
        <f>IF(S126="", "", IF(S126&gt;12, Q126+5, IF(S126&lt;10, Q126-5, Q126)))</f>
        <v/>
      </c>
      <c r="AF126" s="32">
        <v>1</v>
      </c>
      <c r="AG126" s="32"/>
      <c r="AH126" s="30"/>
      <c r="AI126" s="45" t="str">
        <f>IF(W126="", "", IF(W126&gt;12, U126+5, IF(W126&lt;10, U126-5, U126)))</f>
        <v/>
      </c>
      <c r="AJ126" s="39">
        <v>1</v>
      </c>
      <c r="AK126" s="39"/>
      <c r="AL126" s="40"/>
      <c r="AM126" s="31" t="str">
        <f>IF(AA126="", "", IF(AA126&gt;20, Y126+1.25, IF(AA126&lt;15, Y126-1.25, Y126)))</f>
        <v/>
      </c>
      <c r="AN126" s="32">
        <v>1</v>
      </c>
      <c r="AO126" s="32"/>
      <c r="AP126" s="35"/>
      <c r="AQ126" s="86"/>
      <c r="AR126" s="35"/>
      <c r="AS126" s="45" t="str">
        <f>IF(AG126="", "", IF(AG126&gt;12, AE126+5, IF(AG126&lt;10, AE126-5, AE126)))</f>
        <v/>
      </c>
      <c r="AT126" s="32">
        <v>1</v>
      </c>
      <c r="AU126" s="32"/>
      <c r="AV126" s="30"/>
      <c r="AW126" s="45" t="str">
        <f>IF(AK126="", "", IF(AK126&gt;12, AI126+5, IF(AK126&lt;10, AI126-5, AI126)))</f>
        <v/>
      </c>
      <c r="AX126" s="39">
        <v>1</v>
      </c>
      <c r="AY126" s="39"/>
      <c r="AZ126" s="40"/>
      <c r="BA126" s="31" t="str">
        <f>IF(AO126="", "", IF(AO126&gt;20, AM126+1.25, IF(AO126&lt;15, AM126-1.25, AM126)))</f>
        <v/>
      </c>
      <c r="BB126" s="32">
        <v>1</v>
      </c>
      <c r="BC126" s="32"/>
      <c r="BD126" s="35"/>
      <c r="BE126" s="86"/>
      <c r="BF126" s="35"/>
      <c r="BG126" s="45" t="str">
        <f>IF(AU126="", "", IF(AU126&gt;12, AS126+5, IF(AU126&lt;10, AS126-5, AS126)))</f>
        <v/>
      </c>
      <c r="BH126" s="32">
        <v>1</v>
      </c>
      <c r="BI126" s="32"/>
      <c r="BJ126" s="30"/>
      <c r="BK126" s="45" t="str">
        <f>IF(AY126="", "", IF(AY126&gt;12, AW126+5, IF(AY126&lt;10, AW126-5, AW126)))</f>
        <v/>
      </c>
      <c r="BL126" s="39">
        <v>1</v>
      </c>
      <c r="BM126" s="39"/>
      <c r="BN126" s="40"/>
      <c r="BO126" s="31" t="str">
        <f>IF(BC126="", "", IF(BC126&gt;20, BA126+1.25, IF(BC126&lt;15, BA126-1.25, BA126)))</f>
        <v/>
      </c>
      <c r="BP126" s="32">
        <v>1</v>
      </c>
      <c r="BQ126" s="32"/>
      <c r="BR126" s="35"/>
      <c r="BS126" s="86"/>
      <c r="BT126" s="35"/>
      <c r="BU126" s="45" t="str">
        <f>IF(BI126="", "", IF(BI126&gt;12, BG126+5, IF(BI126&lt;10, BG126-5, BG126)))</f>
        <v/>
      </c>
      <c r="BV126" s="32">
        <v>1</v>
      </c>
      <c r="BW126" s="32"/>
      <c r="BX126" s="30"/>
      <c r="BY126" s="45" t="str">
        <f>IF(BM126="", "", IF(BM126&gt;12, BK126+5, IF(BM126&lt;10, BK126-5, BK126)))</f>
        <v/>
      </c>
      <c r="BZ126" s="39">
        <v>1</v>
      </c>
      <c r="CA126" s="39"/>
      <c r="CB126" s="40"/>
      <c r="CC126" s="31" t="str">
        <f>IF(BQ126="", "", IF(BQ126&gt;20, BO126+1.25, IF(BQ126&lt;15, BO126-1.25, BO126)))</f>
        <v/>
      </c>
      <c r="CD126" s="32">
        <v>1</v>
      </c>
      <c r="CE126" s="32"/>
      <c r="CF126" s="35"/>
      <c r="CG126" s="86"/>
      <c r="CH126" s="35"/>
      <c r="CI126" s="45" t="str">
        <f>IF(BW126="", "", IF(BW126&gt;12, BU126+5, IF(BW126&lt;10, BU126-5, BU126)))</f>
        <v/>
      </c>
      <c r="CJ126" s="32">
        <v>1</v>
      </c>
      <c r="CK126" s="32"/>
      <c r="CL126" s="30"/>
      <c r="CM126" s="45" t="str">
        <f>IF(CA126="", "", IF(CA126&gt;12, BY126+5, IF(CA126&lt;10, BY126-5, BY126)))</f>
        <v/>
      </c>
      <c r="CN126" s="39">
        <v>1</v>
      </c>
      <c r="CO126" s="39"/>
      <c r="CP126" s="40"/>
      <c r="CQ126" s="31" t="str">
        <f>IF(CE126="", "", IF(CE126&gt;20, CC126+1.25, IF(CE126&lt;15, CC126-1.25, CC126)))</f>
        <v/>
      </c>
      <c r="CR126" s="32">
        <v>1</v>
      </c>
      <c r="CS126" s="32"/>
      <c r="CT126" s="35"/>
      <c r="CU126" s="86"/>
      <c r="CV126" s="35"/>
      <c r="CW126" s="45" t="str">
        <f>IF(CK126="", "", IF(CK126&gt;12, CI126+5, IF(CK126&lt;10, CI126-5, CI126)))</f>
        <v/>
      </c>
      <c r="CX126" s="32">
        <v>1</v>
      </c>
      <c r="CY126" s="32"/>
      <c r="CZ126" s="30"/>
      <c r="DA126" s="45" t="str">
        <f>IF(CO126="", "", IF(CO126&gt;12, CM126+5, IF(CO126&lt;10, CM126-5, CM126)))</f>
        <v/>
      </c>
      <c r="DB126" s="39">
        <v>1</v>
      </c>
      <c r="DC126" s="39"/>
      <c r="DD126" s="40"/>
      <c r="DE126" s="31" t="str">
        <f>IF(CS126="", "", IF(CS126&gt;20, CQ126+1.25, IF(CS126&lt;15, CQ126-1.25, CQ126)))</f>
        <v/>
      </c>
      <c r="DF126" s="32">
        <v>1</v>
      </c>
      <c r="DG126" s="32"/>
      <c r="DH126" s="35"/>
      <c r="DI126" s="86"/>
      <c r="DJ126" s="35"/>
      <c r="DK126" s="45" t="str">
        <f>IF(CY126="", "", IF(CY126&gt;12, CW126+5, IF(CY126&lt;10, CW126-5, CW126)))</f>
        <v/>
      </c>
      <c r="DL126" s="32">
        <v>1</v>
      </c>
      <c r="DM126" s="32"/>
      <c r="DN126" s="30"/>
      <c r="DO126" s="45" t="str">
        <f>IF(DC126="", "", IF(DC126&gt;12, DA126+5, IF(DC126&lt;10, DA126-5, DA126)))</f>
        <v/>
      </c>
      <c r="DP126" s="39">
        <v>1</v>
      </c>
      <c r="DQ126" s="39"/>
      <c r="DR126" s="40"/>
      <c r="DS126" s="31" t="str">
        <f>IF(DG126="", "", IF(DG126&gt;20, DE126+1.25, IF(DG126&lt;15, DE126-1.25, DE126)))</f>
        <v/>
      </c>
      <c r="DT126" s="32">
        <v>1</v>
      </c>
      <c r="DU126" s="32"/>
      <c r="DV126" s="35"/>
      <c r="DW126" s="86"/>
      <c r="DX126" s="35"/>
      <c r="DY126" s="45" t="str">
        <f>IF(DM126="", "", IF(DM126&gt;12, DK126+5, IF(DM126&lt;10, DK126-5, DK126)))</f>
        <v/>
      </c>
      <c r="DZ126" s="32">
        <v>1</v>
      </c>
      <c r="EA126" s="32"/>
      <c r="EB126" s="30"/>
      <c r="EC126" s="45" t="str">
        <f>IF(DQ126="", "", IF(DQ126&gt;12, DO126+5, IF(DQ126&lt;10, DO126-5, DO126)))</f>
        <v/>
      </c>
      <c r="ED126" s="39">
        <v>1</v>
      </c>
      <c r="EE126" s="39"/>
      <c r="EF126" s="40"/>
      <c r="EG126" s="31" t="str">
        <f>IF(DU126="", "", IF(DU126&gt;20, DS126+1.25, IF(DU126&lt;15, DS126-1.25, DS126)))</f>
        <v/>
      </c>
      <c r="EH126" s="32">
        <v>1</v>
      </c>
      <c r="EI126" s="32"/>
      <c r="EJ126" s="35"/>
      <c r="EK126" s="86"/>
      <c r="EL126" s="35"/>
      <c r="EM126" s="45" t="str">
        <f>IF(EA126="", "", IF(EA126&gt;12, DY126+5, IF(EA126&lt;10, DY126-5, DY126)))</f>
        <v/>
      </c>
      <c r="EN126" s="32">
        <v>1</v>
      </c>
      <c r="EO126" s="32"/>
      <c r="EP126" s="30"/>
      <c r="EQ126" s="45" t="str">
        <f>IF(EE126="", "", IF(EE126&gt;12, EC126+5, IF(EE126&lt;10, EC126-5, EC126)))</f>
        <v/>
      </c>
      <c r="ER126" s="39">
        <v>1</v>
      </c>
      <c r="ES126" s="39"/>
      <c r="ET126" s="40"/>
      <c r="EU126" s="31" t="str">
        <f>IF(EI126="", "", IF(EI126&gt;20, EG126+1.25, IF(EI126&lt;15, EG126-1.25, EG126)))</f>
        <v/>
      </c>
      <c r="EV126" s="32">
        <v>1</v>
      </c>
      <c r="EW126" s="32"/>
      <c r="EX126" s="35"/>
      <c r="EY126" s="86"/>
      <c r="EZ126" s="35"/>
      <c r="FA126" s="45" t="str">
        <f>IF(EO126="", "", IF(EO126&gt;12, EM126+5, IF(EO126&lt;10, EM126-5, EM126)))</f>
        <v/>
      </c>
      <c r="FB126" s="32">
        <v>1</v>
      </c>
      <c r="FC126" s="32"/>
      <c r="FD126" s="30"/>
      <c r="FE126" s="45" t="str">
        <f>IF(ES126="", "", IF(ES126&gt;12, EQ126+5, IF(ES126&lt;10, EQ126-5, EQ126)))</f>
        <v/>
      </c>
      <c r="FF126" s="39">
        <v>1</v>
      </c>
      <c r="FG126" s="39"/>
      <c r="FH126" s="40"/>
      <c r="FI126" s="31" t="str">
        <f>IF(EW126="", "", IF(EW126&gt;20, EU126+1.25, IF(EW126&lt;15, EU126-1.25, EU126)))</f>
        <v/>
      </c>
      <c r="FJ126" s="32">
        <v>1</v>
      </c>
      <c r="FK126" s="32"/>
      <c r="FL126" s="35"/>
      <c r="FM126" s="86"/>
    </row>
    <row r="127" spans="1:169" ht="15.75" customHeight="1">
      <c r="A127" s="86"/>
      <c r="B127" s="30"/>
      <c r="C127" s="31"/>
      <c r="D127" s="32">
        <v>2</v>
      </c>
      <c r="E127" s="32"/>
      <c r="F127" s="40"/>
      <c r="G127" s="39"/>
      <c r="H127" s="39">
        <v>2</v>
      </c>
      <c r="I127" s="39"/>
      <c r="J127" s="40"/>
      <c r="K127" s="31"/>
      <c r="L127" s="32">
        <v>2</v>
      </c>
      <c r="M127" s="32"/>
      <c r="O127" s="86"/>
      <c r="Q127" s="45" t="str">
        <f>IF(E126="", "", IF(E126&gt;12, C126+5, IF(E126&lt;10, C126-5, C126)))</f>
        <v/>
      </c>
      <c r="R127" s="32">
        <v>2</v>
      </c>
      <c r="S127" s="32"/>
      <c r="T127" s="40"/>
      <c r="U127" s="45" t="str">
        <f>IF(I126="", "", IF(I126&gt;12, G126+5, IF(I126&lt;10, G126-5, G126)))</f>
        <v/>
      </c>
      <c r="V127" s="39">
        <v>2</v>
      </c>
      <c r="W127" s="39"/>
      <c r="X127" s="40"/>
      <c r="Y127" s="31" t="str">
        <f>IF(M126="", "", IF(M126&gt;20, K126+1.25, IF(M126&lt;15, K126-1.25, K126)))</f>
        <v/>
      </c>
      <c r="Z127" s="32">
        <v>2</v>
      </c>
      <c r="AA127" s="32"/>
      <c r="AC127" s="86"/>
      <c r="AD127" s="35"/>
      <c r="AE127" s="45" t="str">
        <f>IF(S126="", "", IF(S126&gt;12, Q126+5, IF(S126&lt;10, Q126-5, Q126)))</f>
        <v/>
      </c>
      <c r="AF127" s="32">
        <v>2</v>
      </c>
      <c r="AG127" s="32"/>
      <c r="AH127" s="40"/>
      <c r="AI127" s="45" t="str">
        <f>IF(W126="", "", IF(W126&gt;12, U126+5, IF(W126&lt;10, U126-5, U126)))</f>
        <v/>
      </c>
      <c r="AJ127" s="39">
        <v>2</v>
      </c>
      <c r="AK127" s="39"/>
      <c r="AL127" s="40"/>
      <c r="AM127" s="31" t="str">
        <f>IF(AA126="", "", IF(AA126&gt;20, Y126+1.25, IF(AA126&lt;15, Y126-1.25, Y126)))</f>
        <v/>
      </c>
      <c r="AN127" s="32">
        <v>2</v>
      </c>
      <c r="AO127" s="32"/>
      <c r="AP127" s="35"/>
      <c r="AQ127" s="86"/>
      <c r="AR127" s="35"/>
      <c r="AS127" s="45" t="str">
        <f>IF(AG126="", "", IF(AG126&gt;12, AE126+5, IF(AG126&lt;10, AE126-5, AE126)))</f>
        <v/>
      </c>
      <c r="AT127" s="32">
        <v>2</v>
      </c>
      <c r="AU127" s="32"/>
      <c r="AV127" s="40"/>
      <c r="AW127" s="45" t="str">
        <f>IF(AK126="", "", IF(AK126&gt;12, AI126+5, IF(AK126&lt;10, AI126-5, AI126)))</f>
        <v/>
      </c>
      <c r="AX127" s="39">
        <v>2</v>
      </c>
      <c r="AY127" s="39"/>
      <c r="AZ127" s="40"/>
      <c r="BA127" s="31" t="str">
        <f>IF(AO126="", "", IF(AO126&gt;20, AM126+1.25, IF(AO126&lt;15, AM126-1.25, AM126)))</f>
        <v/>
      </c>
      <c r="BB127" s="32">
        <v>2</v>
      </c>
      <c r="BC127" s="32"/>
      <c r="BD127" s="35"/>
      <c r="BE127" s="86"/>
      <c r="BF127" s="35"/>
      <c r="BG127" s="45" t="str">
        <f>IF(AU126="", "", IF(AU126&gt;12, AS126+5, IF(AU126&lt;10, AS126-5, AS126)))</f>
        <v/>
      </c>
      <c r="BH127" s="32">
        <v>2</v>
      </c>
      <c r="BI127" s="32"/>
      <c r="BJ127" s="40"/>
      <c r="BK127" s="45" t="str">
        <f>IF(AY126="", "", IF(AY126&gt;12, AW126+5, IF(AY126&lt;10, AW126-5, AW126)))</f>
        <v/>
      </c>
      <c r="BL127" s="39">
        <v>2</v>
      </c>
      <c r="BM127" s="39"/>
      <c r="BN127" s="40"/>
      <c r="BO127" s="31" t="str">
        <f>IF(BC126="", "", IF(BC126&gt;20, BA126+1.25, IF(BC126&lt;15, BA126-1.25, BA126)))</f>
        <v/>
      </c>
      <c r="BP127" s="32">
        <v>2</v>
      </c>
      <c r="BQ127" s="32"/>
      <c r="BR127" s="35"/>
      <c r="BS127" s="86"/>
      <c r="BT127" s="35"/>
      <c r="BU127" s="45" t="str">
        <f>IF(BI126="", "", IF(BI126&gt;12, BG126+5, IF(BI126&lt;10, BG126-5, BG126)))</f>
        <v/>
      </c>
      <c r="BV127" s="32">
        <v>2</v>
      </c>
      <c r="BW127" s="32"/>
      <c r="BX127" s="40"/>
      <c r="BY127" s="45" t="str">
        <f>IF(BM126="", "", IF(BM126&gt;12, BK126+5, IF(BM126&lt;10, BK126-5, BK126)))</f>
        <v/>
      </c>
      <c r="BZ127" s="39">
        <v>2</v>
      </c>
      <c r="CA127" s="39"/>
      <c r="CB127" s="40"/>
      <c r="CC127" s="31" t="str">
        <f>IF(BQ126="", "", IF(BQ126&gt;20, BO126+1.25, IF(BQ126&lt;15, BO126-1.25, BO126)))</f>
        <v/>
      </c>
      <c r="CD127" s="32">
        <v>2</v>
      </c>
      <c r="CE127" s="32"/>
      <c r="CF127" s="35"/>
      <c r="CG127" s="86"/>
      <c r="CH127" s="35"/>
      <c r="CI127" s="45" t="str">
        <f>IF(BW126="", "", IF(BW126&gt;12, BU126+5, IF(BW126&lt;10, BU126-5, BU126)))</f>
        <v/>
      </c>
      <c r="CJ127" s="32">
        <v>2</v>
      </c>
      <c r="CK127" s="32"/>
      <c r="CL127" s="40"/>
      <c r="CM127" s="45" t="str">
        <f>IF(CA126="", "", IF(CA126&gt;12, BY126+5, IF(CA126&lt;10, BY126-5, BY126)))</f>
        <v/>
      </c>
      <c r="CN127" s="39">
        <v>2</v>
      </c>
      <c r="CO127" s="39"/>
      <c r="CP127" s="40"/>
      <c r="CQ127" s="31" t="str">
        <f>IF(CE126="", "", IF(CE126&gt;20, CC126+1.25, IF(CE126&lt;15, CC126-1.25, CC126)))</f>
        <v/>
      </c>
      <c r="CR127" s="32">
        <v>2</v>
      </c>
      <c r="CS127" s="32"/>
      <c r="CT127" s="35"/>
      <c r="CU127" s="86"/>
      <c r="CV127" s="35"/>
      <c r="CW127" s="45" t="str">
        <f>IF(CK126="", "", IF(CK126&gt;12, CI126+5, IF(CK126&lt;10, CI126-5, CI126)))</f>
        <v/>
      </c>
      <c r="CX127" s="32">
        <v>2</v>
      </c>
      <c r="CY127" s="32"/>
      <c r="CZ127" s="40"/>
      <c r="DA127" s="45" t="str">
        <f>IF(CO126="", "", IF(CO126&gt;12, CM126+5, IF(CO126&lt;10, CM126-5, CM126)))</f>
        <v/>
      </c>
      <c r="DB127" s="39">
        <v>2</v>
      </c>
      <c r="DC127" s="39"/>
      <c r="DD127" s="40"/>
      <c r="DE127" s="31" t="str">
        <f>IF(CS126="", "", IF(CS126&gt;20, CQ126+1.25, IF(CS126&lt;15, CQ126-1.25, CQ126)))</f>
        <v/>
      </c>
      <c r="DF127" s="32">
        <v>2</v>
      </c>
      <c r="DG127" s="32"/>
      <c r="DH127" s="35"/>
      <c r="DI127" s="86"/>
      <c r="DJ127" s="35"/>
      <c r="DK127" s="45" t="str">
        <f>IF(CY126="", "", IF(CY126&gt;12, CW126+5, IF(CY126&lt;10, CW126-5, CW126)))</f>
        <v/>
      </c>
      <c r="DL127" s="32">
        <v>2</v>
      </c>
      <c r="DM127" s="32"/>
      <c r="DN127" s="40"/>
      <c r="DO127" s="45" t="str">
        <f>IF(DC126="", "", IF(DC126&gt;12, DA126+5, IF(DC126&lt;10, DA126-5, DA126)))</f>
        <v/>
      </c>
      <c r="DP127" s="39">
        <v>2</v>
      </c>
      <c r="DQ127" s="39"/>
      <c r="DR127" s="40"/>
      <c r="DS127" s="31" t="str">
        <f>IF(DG126="", "", IF(DG126&gt;20, DE126+1.25, IF(DG126&lt;15, DE126-1.25, DE126)))</f>
        <v/>
      </c>
      <c r="DT127" s="32">
        <v>2</v>
      </c>
      <c r="DU127" s="32"/>
      <c r="DV127" s="35"/>
      <c r="DW127" s="86"/>
      <c r="DX127" s="35"/>
      <c r="DY127" s="45" t="str">
        <f>IF(DM126="", "", IF(DM126&gt;12, DK126+5, IF(DM126&lt;10, DK126-5, DK126)))</f>
        <v/>
      </c>
      <c r="DZ127" s="32">
        <v>2</v>
      </c>
      <c r="EA127" s="32"/>
      <c r="EB127" s="40"/>
      <c r="EC127" s="45" t="str">
        <f>IF(DQ126="", "", IF(DQ126&gt;12, DO126+5, IF(DQ126&lt;10, DO126-5, DO126)))</f>
        <v/>
      </c>
      <c r="ED127" s="39">
        <v>2</v>
      </c>
      <c r="EE127" s="39"/>
      <c r="EF127" s="40"/>
      <c r="EG127" s="31" t="str">
        <f>IF(DU126="", "", IF(DU126&gt;20, DS126+1.25, IF(DU126&lt;15, DS126-1.25, DS126)))</f>
        <v/>
      </c>
      <c r="EH127" s="32">
        <v>2</v>
      </c>
      <c r="EI127" s="32"/>
      <c r="EJ127" s="35"/>
      <c r="EK127" s="86"/>
      <c r="EL127" s="35"/>
      <c r="EM127" s="45" t="str">
        <f>IF(EA126="", "", IF(EA126&gt;12, DY126+5, IF(EA126&lt;10, DY126-5, DY126)))</f>
        <v/>
      </c>
      <c r="EN127" s="32">
        <v>2</v>
      </c>
      <c r="EO127" s="32"/>
      <c r="EP127" s="40"/>
      <c r="EQ127" s="45" t="str">
        <f>IF(EE126="", "", IF(EE126&gt;12, EC126+5, IF(EE126&lt;10, EC126-5, EC126)))</f>
        <v/>
      </c>
      <c r="ER127" s="39">
        <v>2</v>
      </c>
      <c r="ES127" s="39"/>
      <c r="ET127" s="40"/>
      <c r="EU127" s="31" t="str">
        <f>IF(EI126="", "", IF(EI126&gt;20, EG126+1.25, IF(EI126&lt;15, EG126-1.25, EG126)))</f>
        <v/>
      </c>
      <c r="EV127" s="32">
        <v>2</v>
      </c>
      <c r="EW127" s="32"/>
      <c r="EX127" s="35"/>
      <c r="EY127" s="86"/>
      <c r="EZ127" s="35"/>
      <c r="FA127" s="45" t="str">
        <f>IF(EO126="", "", IF(EO126&gt;12, EM126+5, IF(EO126&lt;10, EM126-5, EM126)))</f>
        <v/>
      </c>
      <c r="FB127" s="32">
        <v>2</v>
      </c>
      <c r="FC127" s="32"/>
      <c r="FD127" s="40"/>
      <c r="FE127" s="45" t="str">
        <f>IF(ES126="", "", IF(ES126&gt;12, EQ126+5, IF(ES126&lt;10, EQ126-5, EQ126)))</f>
        <v/>
      </c>
      <c r="FF127" s="39">
        <v>2</v>
      </c>
      <c r="FG127" s="39"/>
      <c r="FH127" s="40"/>
      <c r="FI127" s="31" t="str">
        <f>IF(EW126="", "", IF(EW126&gt;20, EU126+1.25, IF(EW126&lt;15, EU126-1.25, EU126)))</f>
        <v/>
      </c>
      <c r="FJ127" s="32">
        <v>2</v>
      </c>
      <c r="FK127" s="32"/>
      <c r="FL127" s="35"/>
      <c r="FM127" s="86"/>
    </row>
    <row r="128" spans="1:169" ht="15.75" customHeight="1">
      <c r="A128" s="86"/>
      <c r="C128" s="31"/>
      <c r="D128" s="32"/>
      <c r="E128" s="32"/>
      <c r="F128" s="40"/>
      <c r="G128" s="39"/>
      <c r="H128" s="39">
        <v>3</v>
      </c>
      <c r="I128" s="39"/>
      <c r="J128" s="40"/>
      <c r="K128" s="31"/>
      <c r="L128" s="32">
        <v>3</v>
      </c>
      <c r="M128" s="32"/>
      <c r="O128" s="86"/>
      <c r="Q128" s="45"/>
      <c r="R128" s="32"/>
      <c r="S128" s="32"/>
      <c r="T128" s="40"/>
      <c r="U128" s="45" t="str">
        <f>IF(I126="", "", IF(I126&gt;12, G126+5, IF(I126&lt;10, G126-5, G126)))</f>
        <v/>
      </c>
      <c r="V128" s="39">
        <v>3</v>
      </c>
      <c r="W128" s="39"/>
      <c r="X128" s="40"/>
      <c r="Y128" s="31" t="str">
        <f>IF(M126="", "", IF(M126&gt;20, K126+1.25, IF(M126&lt;15, K126-1.25, K126)))</f>
        <v/>
      </c>
      <c r="Z128" s="32">
        <v>3</v>
      </c>
      <c r="AA128" s="32"/>
      <c r="AC128" s="86"/>
      <c r="AD128" s="35"/>
      <c r="AE128" s="45"/>
      <c r="AF128" s="32"/>
      <c r="AG128" s="32"/>
      <c r="AH128" s="40"/>
      <c r="AI128" s="45" t="str">
        <f>IF(W126="", "", IF(W126&gt;12, U126+5, IF(W126&lt;10, U126-5, U126)))</f>
        <v/>
      </c>
      <c r="AJ128" s="39">
        <v>3</v>
      </c>
      <c r="AK128" s="39"/>
      <c r="AL128" s="40"/>
      <c r="AM128" s="31" t="str">
        <f>IF(AA126="", "", IF(AA126&gt;20, Y126+1.25, IF(AA126&lt;15, Y126-1.25, Y126)))</f>
        <v/>
      </c>
      <c r="AN128" s="32">
        <v>3</v>
      </c>
      <c r="AO128" s="32"/>
      <c r="AP128" s="35"/>
      <c r="AQ128" s="86"/>
      <c r="AR128" s="35"/>
      <c r="AS128" s="45"/>
      <c r="AT128" s="32"/>
      <c r="AU128" s="32"/>
      <c r="AV128" s="40"/>
      <c r="AW128" s="45" t="str">
        <f>IF(AK126="", "", IF(AK126&gt;12, AI126+5, IF(AK126&lt;10, AI126-5, AI126)))</f>
        <v/>
      </c>
      <c r="AX128" s="39">
        <v>3</v>
      </c>
      <c r="AY128" s="39"/>
      <c r="AZ128" s="40"/>
      <c r="BA128" s="31" t="str">
        <f>IF(AO126="", "", IF(AO126&gt;20, AM126+1.25, IF(AO126&lt;15, AM126-1.25, AM126)))</f>
        <v/>
      </c>
      <c r="BB128" s="32">
        <v>3</v>
      </c>
      <c r="BC128" s="32"/>
      <c r="BD128" s="35"/>
      <c r="BE128" s="86"/>
      <c r="BF128" s="35"/>
      <c r="BG128" s="45"/>
      <c r="BH128" s="32"/>
      <c r="BI128" s="32"/>
      <c r="BJ128" s="40"/>
      <c r="BK128" s="45" t="str">
        <f>IF(AY126="", "", IF(AY126&gt;12, AW126+5, IF(AY126&lt;10, AW126-5, AW126)))</f>
        <v/>
      </c>
      <c r="BL128" s="39">
        <v>3</v>
      </c>
      <c r="BM128" s="39"/>
      <c r="BN128" s="40"/>
      <c r="BO128" s="31" t="str">
        <f>IF(BC126="", "", IF(BC126&gt;20, BA126+1.25, IF(BC126&lt;15, BA126-1.25, BA126)))</f>
        <v/>
      </c>
      <c r="BP128" s="32">
        <v>3</v>
      </c>
      <c r="BQ128" s="32"/>
      <c r="BR128" s="35"/>
      <c r="BS128" s="86"/>
      <c r="BT128" s="35"/>
      <c r="BU128" s="45"/>
      <c r="BV128" s="32"/>
      <c r="BW128" s="32"/>
      <c r="BX128" s="40"/>
      <c r="BY128" s="45" t="str">
        <f>IF(BM126="", "", IF(BM126&gt;12, BK126+5, IF(BM126&lt;10, BK126-5, BK126)))</f>
        <v/>
      </c>
      <c r="BZ128" s="39">
        <v>3</v>
      </c>
      <c r="CA128" s="39"/>
      <c r="CB128" s="40"/>
      <c r="CC128" s="31" t="str">
        <f>IF(BQ126="", "", IF(BQ126&gt;20, BO126+1.25, IF(BQ126&lt;15, BO126-1.25, BO126)))</f>
        <v/>
      </c>
      <c r="CD128" s="32">
        <v>3</v>
      </c>
      <c r="CE128" s="32"/>
      <c r="CF128" s="35"/>
      <c r="CG128" s="86"/>
      <c r="CH128" s="35"/>
      <c r="CI128" s="45"/>
      <c r="CJ128" s="32"/>
      <c r="CK128" s="32"/>
      <c r="CL128" s="40"/>
      <c r="CM128" s="45" t="str">
        <f>IF(CA126="", "", IF(CA126&gt;12, BY126+5, IF(CA126&lt;10, BY126-5, BY126)))</f>
        <v/>
      </c>
      <c r="CN128" s="39">
        <v>3</v>
      </c>
      <c r="CO128" s="39"/>
      <c r="CP128" s="40"/>
      <c r="CQ128" s="31" t="str">
        <f>IF(CE126="", "", IF(CE126&gt;20, CC126+1.25, IF(CE126&lt;15, CC126-1.25, CC126)))</f>
        <v/>
      </c>
      <c r="CR128" s="32">
        <v>3</v>
      </c>
      <c r="CS128" s="32"/>
      <c r="CT128" s="35"/>
      <c r="CU128" s="86"/>
      <c r="CV128" s="35"/>
      <c r="CW128" s="45"/>
      <c r="CX128" s="32"/>
      <c r="CY128" s="32"/>
      <c r="CZ128" s="40"/>
      <c r="DA128" s="45" t="str">
        <f>IF(CO126="", "", IF(CO126&gt;12, CM126+5, IF(CO126&lt;10, CM126-5, CM126)))</f>
        <v/>
      </c>
      <c r="DB128" s="39">
        <v>3</v>
      </c>
      <c r="DC128" s="39"/>
      <c r="DD128" s="40"/>
      <c r="DE128" s="31" t="str">
        <f>IF(CS126="", "", IF(CS126&gt;20, CQ126+1.25, IF(CS126&lt;15, CQ126-1.25, CQ126)))</f>
        <v/>
      </c>
      <c r="DF128" s="32">
        <v>3</v>
      </c>
      <c r="DG128" s="32"/>
      <c r="DH128" s="35"/>
      <c r="DI128" s="86"/>
      <c r="DJ128" s="35"/>
      <c r="DK128" s="45"/>
      <c r="DL128" s="32"/>
      <c r="DM128" s="32"/>
      <c r="DN128" s="40"/>
      <c r="DO128" s="45" t="str">
        <f>IF(DC126="", "", IF(DC126&gt;12, DA126+5, IF(DC126&lt;10, DA126-5, DA126)))</f>
        <v/>
      </c>
      <c r="DP128" s="39">
        <v>3</v>
      </c>
      <c r="DQ128" s="39"/>
      <c r="DR128" s="40"/>
      <c r="DS128" s="31" t="str">
        <f>IF(DG126="", "", IF(DG126&gt;20, DE126+1.25, IF(DG126&lt;15, DE126-1.25, DE126)))</f>
        <v/>
      </c>
      <c r="DT128" s="32">
        <v>3</v>
      </c>
      <c r="DU128" s="32"/>
      <c r="DV128" s="35"/>
      <c r="DW128" s="86"/>
      <c r="DX128" s="35"/>
      <c r="DY128" s="45"/>
      <c r="DZ128" s="32"/>
      <c r="EA128" s="32"/>
      <c r="EB128" s="40"/>
      <c r="EC128" s="45" t="str">
        <f>IF(DQ126="", "", IF(DQ126&gt;12, DO126+5, IF(DQ126&lt;10, DO126-5, DO126)))</f>
        <v/>
      </c>
      <c r="ED128" s="39">
        <v>3</v>
      </c>
      <c r="EE128" s="39"/>
      <c r="EF128" s="40"/>
      <c r="EG128" s="31" t="str">
        <f>IF(DU126="", "", IF(DU126&gt;20, DS126+1.25, IF(DU126&lt;15, DS126-1.25, DS126)))</f>
        <v/>
      </c>
      <c r="EH128" s="32">
        <v>3</v>
      </c>
      <c r="EI128" s="32"/>
      <c r="EJ128" s="35"/>
      <c r="EK128" s="86"/>
      <c r="EL128" s="35"/>
      <c r="EM128" s="45"/>
      <c r="EN128" s="32"/>
      <c r="EO128" s="32"/>
      <c r="EP128" s="40"/>
      <c r="EQ128" s="45" t="str">
        <f>IF(EE126="", "", IF(EE126&gt;12, EC126+5, IF(EE126&lt;10, EC126-5, EC126)))</f>
        <v/>
      </c>
      <c r="ER128" s="39">
        <v>3</v>
      </c>
      <c r="ES128" s="39"/>
      <c r="ET128" s="40"/>
      <c r="EU128" s="31" t="str">
        <f>IF(EI126="", "", IF(EI126&gt;20, EG126+1.25, IF(EI126&lt;15, EG126-1.25, EG126)))</f>
        <v/>
      </c>
      <c r="EV128" s="32">
        <v>3</v>
      </c>
      <c r="EW128" s="32"/>
      <c r="EX128" s="35"/>
      <c r="EY128" s="86"/>
      <c r="EZ128" s="35"/>
      <c r="FA128" s="45"/>
      <c r="FB128" s="32"/>
      <c r="FC128" s="32"/>
      <c r="FD128" s="40"/>
      <c r="FE128" s="45" t="str">
        <f>IF(ES126="", "", IF(ES126&gt;12, EQ126+5, IF(ES126&lt;10, EQ126-5, EQ126)))</f>
        <v/>
      </c>
      <c r="FF128" s="39">
        <v>3</v>
      </c>
      <c r="FG128" s="39"/>
      <c r="FH128" s="40"/>
      <c r="FI128" s="31" t="str">
        <f>IF(EW126="", "", IF(EW126&gt;20, EU126+1.25, IF(EW126&lt;15, EU126-1.25, EU126)))</f>
        <v/>
      </c>
      <c r="FJ128" s="32">
        <v>3</v>
      </c>
      <c r="FK128" s="32"/>
      <c r="FL128" s="35"/>
      <c r="FM128" s="86"/>
    </row>
    <row r="129" spans="1:169" ht="15.75" customHeight="1">
      <c r="A129" s="86"/>
      <c r="B129" s="30"/>
      <c r="C129" s="28"/>
      <c r="D129" s="28"/>
      <c r="E129" s="28"/>
      <c r="F129" s="40"/>
      <c r="G129" s="40"/>
      <c r="H129" s="40"/>
      <c r="I129" s="40"/>
      <c r="J129" s="40"/>
      <c r="K129" s="28"/>
      <c r="L129" s="28"/>
      <c r="M129" s="28"/>
      <c r="O129" s="86"/>
      <c r="Q129" s="28"/>
      <c r="R129" s="28"/>
      <c r="S129" s="28"/>
      <c r="T129" s="40"/>
      <c r="U129" s="40"/>
      <c r="V129" s="40"/>
      <c r="W129" s="40"/>
      <c r="X129" s="40"/>
      <c r="Y129" s="28"/>
      <c r="Z129" s="28"/>
      <c r="AA129" s="28"/>
      <c r="AC129" s="86"/>
      <c r="AD129" s="35"/>
      <c r="AE129" s="28"/>
      <c r="AF129" s="28"/>
      <c r="AG129" s="28"/>
      <c r="AH129" s="40"/>
      <c r="AI129" s="40"/>
      <c r="AJ129" s="40"/>
      <c r="AK129" s="40"/>
      <c r="AL129" s="40"/>
      <c r="AM129" s="28"/>
      <c r="AN129" s="28"/>
      <c r="AO129" s="28"/>
      <c r="AP129" s="35"/>
      <c r="AQ129" s="86"/>
      <c r="AR129" s="35"/>
      <c r="AS129" s="28"/>
      <c r="AT129" s="28"/>
      <c r="AU129" s="28"/>
      <c r="AV129" s="40"/>
      <c r="AW129" s="40"/>
      <c r="AX129" s="40"/>
      <c r="AY129" s="40"/>
      <c r="AZ129" s="40"/>
      <c r="BA129" s="28"/>
      <c r="BB129" s="28"/>
      <c r="BC129" s="28"/>
      <c r="BD129" s="35"/>
      <c r="BE129" s="86"/>
      <c r="BF129" s="35"/>
      <c r="BG129" s="28"/>
      <c r="BH129" s="28"/>
      <c r="BI129" s="28"/>
      <c r="BJ129" s="40"/>
      <c r="BK129" s="40"/>
      <c r="BL129" s="40"/>
      <c r="BM129" s="40"/>
      <c r="BN129" s="40"/>
      <c r="BO129" s="28"/>
      <c r="BP129" s="28"/>
      <c r="BQ129" s="28"/>
      <c r="BR129" s="35"/>
      <c r="BS129" s="86"/>
      <c r="BT129" s="35"/>
      <c r="BU129" s="28"/>
      <c r="BV129" s="28"/>
      <c r="BW129" s="28"/>
      <c r="BX129" s="40"/>
      <c r="BY129" s="40"/>
      <c r="BZ129" s="40"/>
      <c r="CA129" s="40"/>
      <c r="CB129" s="40"/>
      <c r="CC129" s="28"/>
      <c r="CD129" s="28"/>
      <c r="CE129" s="28"/>
      <c r="CF129" s="35"/>
      <c r="CG129" s="86"/>
      <c r="CH129" s="35"/>
      <c r="CI129" s="28"/>
      <c r="CJ129" s="28"/>
      <c r="CK129" s="28"/>
      <c r="CL129" s="40"/>
      <c r="CM129" s="40"/>
      <c r="CN129" s="40"/>
      <c r="CO129" s="40"/>
      <c r="CP129" s="40"/>
      <c r="CQ129" s="28"/>
      <c r="CR129" s="28"/>
      <c r="CS129" s="28"/>
      <c r="CT129" s="35"/>
      <c r="CU129" s="86"/>
      <c r="CV129" s="35"/>
      <c r="CW129" s="28"/>
      <c r="CX129" s="28"/>
      <c r="CY129" s="28"/>
      <c r="CZ129" s="40"/>
      <c r="DA129" s="40"/>
      <c r="DB129" s="40"/>
      <c r="DC129" s="40"/>
      <c r="DD129" s="40"/>
      <c r="DE129" s="28"/>
      <c r="DF129" s="28"/>
      <c r="DG129" s="28"/>
      <c r="DH129" s="35"/>
      <c r="DI129" s="86"/>
      <c r="DJ129" s="35"/>
      <c r="DK129" s="28"/>
      <c r="DL129" s="28"/>
      <c r="DM129" s="28"/>
      <c r="DN129" s="40"/>
      <c r="DO129" s="40"/>
      <c r="DP129" s="40"/>
      <c r="DQ129" s="40"/>
      <c r="DR129" s="40"/>
      <c r="DS129" s="28"/>
      <c r="DT129" s="28"/>
      <c r="DU129" s="28"/>
      <c r="DV129" s="35"/>
      <c r="DW129" s="86"/>
      <c r="DX129" s="35"/>
      <c r="DY129" s="28"/>
      <c r="DZ129" s="28"/>
      <c r="EA129" s="28"/>
      <c r="EB129" s="40"/>
      <c r="EC129" s="40"/>
      <c r="ED129" s="40"/>
      <c r="EE129" s="40"/>
      <c r="EF129" s="40"/>
      <c r="EG129" s="28"/>
      <c r="EH129" s="28"/>
      <c r="EI129" s="28"/>
      <c r="EJ129" s="35"/>
      <c r="EK129" s="86"/>
      <c r="EL129" s="35"/>
      <c r="EM129" s="28"/>
      <c r="EN129" s="28"/>
      <c r="EO129" s="28"/>
      <c r="EP129" s="40"/>
      <c r="EQ129" s="40"/>
      <c r="ER129" s="40"/>
      <c r="ES129" s="40"/>
      <c r="ET129" s="40"/>
      <c r="EU129" s="28"/>
      <c r="EV129" s="28"/>
      <c r="EW129" s="28"/>
      <c r="EX129" s="35"/>
      <c r="EY129" s="86"/>
      <c r="EZ129" s="35"/>
      <c r="FA129" s="28"/>
      <c r="FB129" s="28"/>
      <c r="FC129" s="28"/>
      <c r="FD129" s="40"/>
      <c r="FE129" s="40"/>
      <c r="FF129" s="40"/>
      <c r="FG129" s="40"/>
      <c r="FH129" s="40"/>
      <c r="FI129" s="28"/>
      <c r="FJ129" s="28"/>
      <c r="FK129" s="28"/>
      <c r="FL129" s="35"/>
      <c r="FM129" s="86"/>
    </row>
    <row r="130" spans="1:169" ht="15.75" customHeight="1">
      <c r="A130" s="86"/>
      <c r="C130" s="65" t="s">
        <v>51</v>
      </c>
      <c r="D130" s="65"/>
      <c r="E130" s="65"/>
      <c r="F130" s="40"/>
      <c r="G130" s="67" t="s">
        <v>53</v>
      </c>
      <c r="H130" s="59"/>
      <c r="I130" s="59"/>
      <c r="J130" s="40"/>
      <c r="K130" s="58" t="s">
        <v>32</v>
      </c>
      <c r="L130" s="59"/>
      <c r="M130" s="59"/>
      <c r="O130" s="86"/>
      <c r="Q130" s="65" t="s">
        <v>51</v>
      </c>
      <c r="R130" s="65"/>
      <c r="S130" s="65"/>
      <c r="T130" s="40"/>
      <c r="U130" s="67" t="s">
        <v>53</v>
      </c>
      <c r="V130" s="59"/>
      <c r="W130" s="59"/>
      <c r="X130" s="40"/>
      <c r="Y130" s="58" t="s">
        <v>32</v>
      </c>
      <c r="Z130" s="59"/>
      <c r="AA130" s="59"/>
      <c r="AC130" s="86"/>
      <c r="AD130" s="35"/>
      <c r="AE130" s="65" t="s">
        <v>51</v>
      </c>
      <c r="AF130" s="65"/>
      <c r="AG130" s="65"/>
      <c r="AH130" s="40"/>
      <c r="AI130" s="67" t="s">
        <v>53</v>
      </c>
      <c r="AJ130" s="59"/>
      <c r="AK130" s="59"/>
      <c r="AL130" s="40"/>
      <c r="AM130" s="58" t="s">
        <v>32</v>
      </c>
      <c r="AN130" s="59"/>
      <c r="AO130" s="59"/>
      <c r="AP130" s="35"/>
      <c r="AQ130" s="86"/>
      <c r="AR130" s="35"/>
      <c r="AS130" s="65" t="s">
        <v>51</v>
      </c>
      <c r="AT130" s="65"/>
      <c r="AU130" s="65"/>
      <c r="AV130" s="40"/>
      <c r="AW130" s="67" t="s">
        <v>53</v>
      </c>
      <c r="AX130" s="59"/>
      <c r="AY130" s="59"/>
      <c r="AZ130" s="40"/>
      <c r="BA130" s="58" t="s">
        <v>32</v>
      </c>
      <c r="BB130" s="59"/>
      <c r="BC130" s="59"/>
      <c r="BD130" s="35"/>
      <c r="BE130" s="86"/>
      <c r="BF130" s="35"/>
      <c r="BG130" s="65" t="s">
        <v>51</v>
      </c>
      <c r="BH130" s="65"/>
      <c r="BI130" s="65"/>
      <c r="BJ130" s="40"/>
      <c r="BK130" s="67" t="s">
        <v>53</v>
      </c>
      <c r="BL130" s="59"/>
      <c r="BM130" s="59"/>
      <c r="BN130" s="40"/>
      <c r="BO130" s="58" t="s">
        <v>32</v>
      </c>
      <c r="BP130" s="59"/>
      <c r="BQ130" s="59"/>
      <c r="BR130" s="35"/>
      <c r="BS130" s="86"/>
      <c r="BT130" s="35"/>
      <c r="BU130" s="65" t="s">
        <v>51</v>
      </c>
      <c r="BV130" s="65"/>
      <c r="BW130" s="65"/>
      <c r="BX130" s="40"/>
      <c r="BY130" s="67" t="s">
        <v>53</v>
      </c>
      <c r="BZ130" s="59"/>
      <c r="CA130" s="59"/>
      <c r="CB130" s="40"/>
      <c r="CC130" s="58" t="s">
        <v>32</v>
      </c>
      <c r="CD130" s="59"/>
      <c r="CE130" s="59"/>
      <c r="CF130" s="35"/>
      <c r="CG130" s="86"/>
      <c r="CH130" s="35"/>
      <c r="CI130" s="65" t="s">
        <v>51</v>
      </c>
      <c r="CJ130" s="65"/>
      <c r="CK130" s="65"/>
      <c r="CL130" s="40"/>
      <c r="CM130" s="67" t="s">
        <v>53</v>
      </c>
      <c r="CN130" s="59"/>
      <c r="CO130" s="59"/>
      <c r="CP130" s="40"/>
      <c r="CQ130" s="58" t="s">
        <v>32</v>
      </c>
      <c r="CR130" s="59"/>
      <c r="CS130" s="59"/>
      <c r="CT130" s="35"/>
      <c r="CU130" s="86"/>
      <c r="CV130" s="35"/>
      <c r="CW130" s="65" t="s">
        <v>51</v>
      </c>
      <c r="CX130" s="65"/>
      <c r="CY130" s="65"/>
      <c r="CZ130" s="40"/>
      <c r="DA130" s="67" t="s">
        <v>53</v>
      </c>
      <c r="DB130" s="59"/>
      <c r="DC130" s="59"/>
      <c r="DD130" s="40"/>
      <c r="DE130" s="58" t="s">
        <v>32</v>
      </c>
      <c r="DF130" s="59"/>
      <c r="DG130" s="59"/>
      <c r="DH130" s="35"/>
      <c r="DI130" s="86"/>
      <c r="DJ130" s="35"/>
      <c r="DK130" s="65" t="s">
        <v>51</v>
      </c>
      <c r="DL130" s="65"/>
      <c r="DM130" s="65"/>
      <c r="DN130" s="40"/>
      <c r="DO130" s="67" t="s">
        <v>53</v>
      </c>
      <c r="DP130" s="59"/>
      <c r="DQ130" s="59"/>
      <c r="DR130" s="40"/>
      <c r="DS130" s="58" t="s">
        <v>32</v>
      </c>
      <c r="DT130" s="59"/>
      <c r="DU130" s="59"/>
      <c r="DV130" s="35"/>
      <c r="DW130" s="86"/>
      <c r="DX130" s="35"/>
      <c r="DY130" s="65" t="s">
        <v>51</v>
      </c>
      <c r="DZ130" s="65"/>
      <c r="EA130" s="65"/>
      <c r="EB130" s="40"/>
      <c r="EC130" s="67" t="s">
        <v>53</v>
      </c>
      <c r="ED130" s="59"/>
      <c r="EE130" s="59"/>
      <c r="EF130" s="40"/>
      <c r="EG130" s="58" t="s">
        <v>32</v>
      </c>
      <c r="EH130" s="59"/>
      <c r="EI130" s="59"/>
      <c r="EJ130" s="35"/>
      <c r="EK130" s="86"/>
      <c r="EL130" s="35"/>
      <c r="EM130" s="65" t="s">
        <v>51</v>
      </c>
      <c r="EN130" s="65"/>
      <c r="EO130" s="65"/>
      <c r="EP130" s="40"/>
      <c r="EQ130" s="67" t="s">
        <v>53</v>
      </c>
      <c r="ER130" s="59"/>
      <c r="ES130" s="59"/>
      <c r="ET130" s="40"/>
      <c r="EU130" s="58" t="s">
        <v>32</v>
      </c>
      <c r="EV130" s="59"/>
      <c r="EW130" s="59"/>
      <c r="EX130" s="35"/>
      <c r="EY130" s="86"/>
      <c r="EZ130" s="35"/>
      <c r="FA130" s="65" t="s">
        <v>51</v>
      </c>
      <c r="FB130" s="65"/>
      <c r="FC130" s="65"/>
      <c r="FD130" s="40"/>
      <c r="FE130" s="67" t="s">
        <v>53</v>
      </c>
      <c r="FF130" s="59"/>
      <c r="FG130" s="59"/>
      <c r="FH130" s="40"/>
      <c r="FI130" s="58" t="s">
        <v>32</v>
      </c>
      <c r="FJ130" s="59"/>
      <c r="FK130" s="59"/>
      <c r="FL130" s="35"/>
      <c r="FM130" s="86"/>
    </row>
    <row r="131" spans="1:169" ht="15.75" customHeight="1">
      <c r="A131" s="86"/>
      <c r="C131" s="31" t="s">
        <v>4</v>
      </c>
      <c r="D131" s="32" t="s">
        <v>38</v>
      </c>
      <c r="E131" s="32" t="s">
        <v>39</v>
      </c>
      <c r="F131" s="40"/>
      <c r="G131" s="39" t="s">
        <v>4</v>
      </c>
      <c r="H131" s="39" t="s">
        <v>38</v>
      </c>
      <c r="I131" s="39" t="s">
        <v>39</v>
      </c>
      <c r="J131" s="40"/>
      <c r="K131" s="53" t="s">
        <v>4</v>
      </c>
      <c r="L131" s="53" t="s">
        <v>38</v>
      </c>
      <c r="M131" s="53" t="s">
        <v>39</v>
      </c>
      <c r="O131" s="86"/>
      <c r="Q131" s="31" t="s">
        <v>4</v>
      </c>
      <c r="R131" s="32" t="s">
        <v>38</v>
      </c>
      <c r="S131" s="32" t="s">
        <v>39</v>
      </c>
      <c r="T131" s="40"/>
      <c r="U131" s="39" t="s">
        <v>4</v>
      </c>
      <c r="V131" s="39" t="s">
        <v>38</v>
      </c>
      <c r="W131" s="39" t="s">
        <v>39</v>
      </c>
      <c r="X131" s="40"/>
      <c r="Y131" s="53" t="s">
        <v>4</v>
      </c>
      <c r="Z131" s="53" t="s">
        <v>38</v>
      </c>
      <c r="AA131" s="53" t="s">
        <v>39</v>
      </c>
      <c r="AC131" s="86"/>
      <c r="AD131" s="35"/>
      <c r="AE131" s="31" t="s">
        <v>4</v>
      </c>
      <c r="AF131" s="32" t="s">
        <v>38</v>
      </c>
      <c r="AG131" s="32" t="s">
        <v>39</v>
      </c>
      <c r="AH131" s="40"/>
      <c r="AI131" s="39" t="s">
        <v>4</v>
      </c>
      <c r="AJ131" s="39" t="s">
        <v>38</v>
      </c>
      <c r="AK131" s="39" t="s">
        <v>39</v>
      </c>
      <c r="AL131" s="40"/>
      <c r="AM131" s="53" t="s">
        <v>4</v>
      </c>
      <c r="AN131" s="53" t="s">
        <v>38</v>
      </c>
      <c r="AO131" s="53" t="s">
        <v>39</v>
      </c>
      <c r="AP131" s="35"/>
      <c r="AQ131" s="86"/>
      <c r="AR131" s="35"/>
      <c r="AS131" s="31" t="s">
        <v>4</v>
      </c>
      <c r="AT131" s="32" t="s">
        <v>38</v>
      </c>
      <c r="AU131" s="32" t="s">
        <v>39</v>
      </c>
      <c r="AV131" s="40"/>
      <c r="AW131" s="39" t="s">
        <v>4</v>
      </c>
      <c r="AX131" s="39" t="s">
        <v>38</v>
      </c>
      <c r="AY131" s="39" t="s">
        <v>39</v>
      </c>
      <c r="AZ131" s="40"/>
      <c r="BA131" s="53" t="s">
        <v>4</v>
      </c>
      <c r="BB131" s="53" t="s">
        <v>38</v>
      </c>
      <c r="BC131" s="53" t="s">
        <v>39</v>
      </c>
      <c r="BD131" s="35"/>
      <c r="BE131" s="86"/>
      <c r="BF131" s="35"/>
      <c r="BG131" s="31" t="s">
        <v>4</v>
      </c>
      <c r="BH131" s="32" t="s">
        <v>38</v>
      </c>
      <c r="BI131" s="32" t="s">
        <v>39</v>
      </c>
      <c r="BJ131" s="40"/>
      <c r="BK131" s="39" t="s">
        <v>4</v>
      </c>
      <c r="BL131" s="39" t="s">
        <v>38</v>
      </c>
      <c r="BM131" s="39" t="s">
        <v>39</v>
      </c>
      <c r="BN131" s="40"/>
      <c r="BO131" s="53" t="s">
        <v>4</v>
      </c>
      <c r="BP131" s="53" t="s">
        <v>38</v>
      </c>
      <c r="BQ131" s="53" t="s">
        <v>39</v>
      </c>
      <c r="BR131" s="35"/>
      <c r="BS131" s="86"/>
      <c r="BT131" s="35"/>
      <c r="BU131" s="31" t="s">
        <v>4</v>
      </c>
      <c r="BV131" s="32" t="s">
        <v>38</v>
      </c>
      <c r="BW131" s="32" t="s">
        <v>39</v>
      </c>
      <c r="BX131" s="40"/>
      <c r="BY131" s="39" t="s">
        <v>4</v>
      </c>
      <c r="BZ131" s="39" t="s">
        <v>38</v>
      </c>
      <c r="CA131" s="39" t="s">
        <v>39</v>
      </c>
      <c r="CB131" s="40"/>
      <c r="CC131" s="53" t="s">
        <v>4</v>
      </c>
      <c r="CD131" s="53" t="s">
        <v>38</v>
      </c>
      <c r="CE131" s="53" t="s">
        <v>39</v>
      </c>
      <c r="CF131" s="35"/>
      <c r="CG131" s="86"/>
      <c r="CH131" s="35"/>
      <c r="CI131" s="31" t="s">
        <v>4</v>
      </c>
      <c r="CJ131" s="32" t="s">
        <v>38</v>
      </c>
      <c r="CK131" s="32" t="s">
        <v>39</v>
      </c>
      <c r="CL131" s="40"/>
      <c r="CM131" s="39" t="s">
        <v>4</v>
      </c>
      <c r="CN131" s="39" t="s">
        <v>38</v>
      </c>
      <c r="CO131" s="39" t="s">
        <v>39</v>
      </c>
      <c r="CP131" s="40"/>
      <c r="CQ131" s="53" t="s">
        <v>4</v>
      </c>
      <c r="CR131" s="53" t="s">
        <v>38</v>
      </c>
      <c r="CS131" s="53" t="s">
        <v>39</v>
      </c>
      <c r="CT131" s="35"/>
      <c r="CU131" s="86"/>
      <c r="CV131" s="35"/>
      <c r="CW131" s="31" t="s">
        <v>4</v>
      </c>
      <c r="CX131" s="32" t="s">
        <v>38</v>
      </c>
      <c r="CY131" s="32" t="s">
        <v>39</v>
      </c>
      <c r="CZ131" s="40"/>
      <c r="DA131" s="39" t="s">
        <v>4</v>
      </c>
      <c r="DB131" s="39" t="s">
        <v>38</v>
      </c>
      <c r="DC131" s="39" t="s">
        <v>39</v>
      </c>
      <c r="DD131" s="40"/>
      <c r="DE131" s="53" t="s">
        <v>4</v>
      </c>
      <c r="DF131" s="53" t="s">
        <v>38</v>
      </c>
      <c r="DG131" s="53" t="s">
        <v>39</v>
      </c>
      <c r="DH131" s="35"/>
      <c r="DI131" s="86"/>
      <c r="DJ131" s="35"/>
      <c r="DK131" s="31" t="s">
        <v>4</v>
      </c>
      <c r="DL131" s="32" t="s">
        <v>38</v>
      </c>
      <c r="DM131" s="32" t="s">
        <v>39</v>
      </c>
      <c r="DN131" s="40"/>
      <c r="DO131" s="39" t="s">
        <v>4</v>
      </c>
      <c r="DP131" s="39" t="s">
        <v>38</v>
      </c>
      <c r="DQ131" s="39" t="s">
        <v>39</v>
      </c>
      <c r="DR131" s="40"/>
      <c r="DS131" s="53" t="s">
        <v>4</v>
      </c>
      <c r="DT131" s="53" t="s">
        <v>38</v>
      </c>
      <c r="DU131" s="53" t="s">
        <v>39</v>
      </c>
      <c r="DV131" s="35"/>
      <c r="DW131" s="86"/>
      <c r="DX131" s="35"/>
      <c r="DY131" s="31" t="s">
        <v>4</v>
      </c>
      <c r="DZ131" s="32" t="s">
        <v>38</v>
      </c>
      <c r="EA131" s="32" t="s">
        <v>39</v>
      </c>
      <c r="EB131" s="40"/>
      <c r="EC131" s="39" t="s">
        <v>4</v>
      </c>
      <c r="ED131" s="39" t="s">
        <v>38</v>
      </c>
      <c r="EE131" s="39" t="s">
        <v>39</v>
      </c>
      <c r="EF131" s="40"/>
      <c r="EG131" s="53" t="s">
        <v>4</v>
      </c>
      <c r="EH131" s="53" t="s">
        <v>38</v>
      </c>
      <c r="EI131" s="53" t="s">
        <v>39</v>
      </c>
      <c r="EJ131" s="35"/>
      <c r="EK131" s="86"/>
      <c r="EL131" s="35"/>
      <c r="EM131" s="31" t="s">
        <v>4</v>
      </c>
      <c r="EN131" s="32" t="s">
        <v>38</v>
      </c>
      <c r="EO131" s="32" t="s">
        <v>39</v>
      </c>
      <c r="EP131" s="40"/>
      <c r="EQ131" s="39" t="s">
        <v>4</v>
      </c>
      <c r="ER131" s="39" t="s">
        <v>38</v>
      </c>
      <c r="ES131" s="39" t="s">
        <v>39</v>
      </c>
      <c r="ET131" s="40"/>
      <c r="EU131" s="53" t="s">
        <v>4</v>
      </c>
      <c r="EV131" s="53" t="s">
        <v>38</v>
      </c>
      <c r="EW131" s="53" t="s">
        <v>39</v>
      </c>
      <c r="EX131" s="35"/>
      <c r="EY131" s="86"/>
      <c r="EZ131" s="35"/>
      <c r="FA131" s="31" t="s">
        <v>4</v>
      </c>
      <c r="FB131" s="32" t="s">
        <v>38</v>
      </c>
      <c r="FC131" s="32" t="s">
        <v>39</v>
      </c>
      <c r="FD131" s="40"/>
      <c r="FE131" s="39" t="s">
        <v>4</v>
      </c>
      <c r="FF131" s="39" t="s">
        <v>38</v>
      </c>
      <c r="FG131" s="39" t="s">
        <v>39</v>
      </c>
      <c r="FH131" s="40"/>
      <c r="FI131" s="53" t="s">
        <v>4</v>
      </c>
      <c r="FJ131" s="53" t="s">
        <v>38</v>
      </c>
      <c r="FK131" s="53" t="s">
        <v>39</v>
      </c>
      <c r="FL131" s="35"/>
      <c r="FM131" s="86"/>
    </row>
    <row r="132" spans="1:169" ht="15.75" customHeight="1">
      <c r="A132" s="86"/>
      <c r="B132" s="30" t="str">
        <f>"берем около " &amp; INT(0.6*F25)&amp; "кг"</f>
        <v>берем около 0кг</v>
      </c>
      <c r="C132" s="31"/>
      <c r="D132" s="32">
        <v>1</v>
      </c>
      <c r="E132" s="32"/>
      <c r="F132" s="30" t="str">
        <f>"берем около " &amp; INT(0.6*F41)&amp; "кг"</f>
        <v>берем около 0кг</v>
      </c>
      <c r="G132" s="39"/>
      <c r="H132" s="39">
        <v>1</v>
      </c>
      <c r="I132" s="39"/>
      <c r="J132" s="30" t="str">
        <f>"берем около " &amp; INT(0.6*F55)&amp; "кг"</f>
        <v>берем около 0кг</v>
      </c>
      <c r="K132" s="53"/>
      <c r="L132" s="53">
        <v>1</v>
      </c>
      <c r="M132" s="53"/>
      <c r="O132" s="86"/>
      <c r="Q132" s="45" t="str">
        <f>IF(E132="", "", IF(E132&gt;12, C132+5, IF(E132&lt;10, C132-5, C132)))</f>
        <v/>
      </c>
      <c r="R132" s="32">
        <v>1</v>
      </c>
      <c r="S132" s="32"/>
      <c r="T132" s="30"/>
      <c r="U132" s="45" t="str">
        <f>IF(I132="", "", IF(I132&gt;12, G132+5, IF(I132&lt;10, G132-5, G132)))</f>
        <v/>
      </c>
      <c r="V132" s="39">
        <v>1</v>
      </c>
      <c r="W132" s="39"/>
      <c r="X132" s="40"/>
      <c r="Y132" s="45" t="str">
        <f>IF(M132="", "", IF(M132&gt;12, K132+5, IF(M132&lt;10, K132-5, K132)))</f>
        <v/>
      </c>
      <c r="Z132" s="53">
        <v>1</v>
      </c>
      <c r="AA132" s="53"/>
      <c r="AC132" s="86"/>
      <c r="AD132" s="35"/>
      <c r="AE132" s="45" t="str">
        <f>IF(S132="", "", IF(S132&gt;12, Q132+5, IF(S132&lt;10, Q132-5, Q132)))</f>
        <v/>
      </c>
      <c r="AF132" s="32">
        <v>1</v>
      </c>
      <c r="AG132" s="32"/>
      <c r="AH132" s="30"/>
      <c r="AI132" s="45" t="str">
        <f>IF(W132="", "", IF(W132&gt;12, U132+5, IF(W132&lt;10, U132-5, U132)))</f>
        <v/>
      </c>
      <c r="AJ132" s="39">
        <v>1</v>
      </c>
      <c r="AK132" s="39"/>
      <c r="AL132" s="40"/>
      <c r="AM132" s="45" t="str">
        <f>IF(AA132="", "", IF(AA132&gt;12, Y132+5, IF(AA132&lt;10, Y132-5, Y132)))</f>
        <v/>
      </c>
      <c r="AN132" s="53">
        <v>1</v>
      </c>
      <c r="AO132" s="53"/>
      <c r="AP132" s="35"/>
      <c r="AQ132" s="86"/>
      <c r="AR132" s="35"/>
      <c r="AS132" s="45" t="str">
        <f>IF(AG132="", "", IF(AG132&gt;12, AE132+5, IF(AG132&lt;10, AE132-5, AE132)))</f>
        <v/>
      </c>
      <c r="AT132" s="32">
        <v>1</v>
      </c>
      <c r="AU132" s="32"/>
      <c r="AV132" s="30"/>
      <c r="AW132" s="45" t="str">
        <f>IF(AK132="", "", IF(AK132&gt;12, AI132+5, IF(AK132&lt;10, AI132-5, AI132)))</f>
        <v/>
      </c>
      <c r="AX132" s="39">
        <v>1</v>
      </c>
      <c r="AY132" s="39"/>
      <c r="AZ132" s="40"/>
      <c r="BA132" s="45" t="str">
        <f>IF(AO132="", "", IF(AO132&gt;12, AM132+5, IF(AO132&lt;10, AM132-5, AM132)))</f>
        <v/>
      </c>
      <c r="BB132" s="53">
        <v>1</v>
      </c>
      <c r="BC132" s="53"/>
      <c r="BD132" s="35"/>
      <c r="BE132" s="86"/>
      <c r="BF132" s="35"/>
      <c r="BG132" s="45" t="str">
        <f>IF(AU132="", "", IF(AU132&gt;12, AS132+5, IF(AU132&lt;10, AS132-5, AS132)))</f>
        <v/>
      </c>
      <c r="BH132" s="32">
        <v>1</v>
      </c>
      <c r="BI132" s="32"/>
      <c r="BJ132" s="30"/>
      <c r="BK132" s="45" t="str">
        <f>IF(AY132="", "", IF(AY132&gt;12, AW132+5, IF(AY132&lt;10, AW132-5, AW132)))</f>
        <v/>
      </c>
      <c r="BL132" s="39">
        <v>1</v>
      </c>
      <c r="BM132" s="39"/>
      <c r="BN132" s="40"/>
      <c r="BO132" s="45" t="str">
        <f>IF(BC132="", "", IF(BC132&gt;12, BA132+5, IF(BC132&lt;10, BA132-5, BA132)))</f>
        <v/>
      </c>
      <c r="BP132" s="53">
        <v>1</v>
      </c>
      <c r="BQ132" s="53"/>
      <c r="BR132" s="35"/>
      <c r="BS132" s="86"/>
      <c r="BT132" s="35"/>
      <c r="BU132" s="45" t="str">
        <f>IF(BI132="", "", IF(BI132&gt;12, BG132+5, IF(BI132&lt;10, BG132-5, BG132)))</f>
        <v/>
      </c>
      <c r="BV132" s="32">
        <v>1</v>
      </c>
      <c r="BW132" s="32"/>
      <c r="BX132" s="30"/>
      <c r="BY132" s="45" t="str">
        <f>IF(BM132="", "", IF(BM132&gt;12, BK132+5, IF(BM132&lt;10, BK132-5, BK132)))</f>
        <v/>
      </c>
      <c r="BZ132" s="39">
        <v>1</v>
      </c>
      <c r="CA132" s="39"/>
      <c r="CB132" s="40"/>
      <c r="CC132" s="45" t="str">
        <f>IF(BQ132="", "", IF(BQ132&gt;12, BO132+5, IF(BQ132&lt;10, BO132-5, BO132)))</f>
        <v/>
      </c>
      <c r="CD132" s="53">
        <v>1</v>
      </c>
      <c r="CE132" s="53"/>
      <c r="CF132" s="35"/>
      <c r="CG132" s="86"/>
      <c r="CH132" s="35"/>
      <c r="CI132" s="45" t="str">
        <f>IF(BW132="", "", IF(BW132&gt;12, BU132+5, IF(BW132&lt;10, BU132-5, BU132)))</f>
        <v/>
      </c>
      <c r="CJ132" s="32">
        <v>1</v>
      </c>
      <c r="CK132" s="32"/>
      <c r="CL132" s="30"/>
      <c r="CM132" s="45" t="str">
        <f>IF(CA132="", "", IF(CA132&gt;12, BY132+5, IF(CA132&lt;10, BY132-5, BY132)))</f>
        <v/>
      </c>
      <c r="CN132" s="39">
        <v>1</v>
      </c>
      <c r="CO132" s="39"/>
      <c r="CP132" s="40"/>
      <c r="CQ132" s="45" t="str">
        <f>IF(CE132="", "", IF(CE132&gt;12, CC132+5, IF(CE132&lt;10, CC132-5, CC132)))</f>
        <v/>
      </c>
      <c r="CR132" s="53">
        <v>1</v>
      </c>
      <c r="CS132" s="53"/>
      <c r="CT132" s="35"/>
      <c r="CU132" s="86"/>
      <c r="CV132" s="35"/>
      <c r="CW132" s="45" t="str">
        <f>IF(CK132="", "", IF(CK132&gt;12, CI132+5, IF(CK132&lt;10, CI132-5, CI132)))</f>
        <v/>
      </c>
      <c r="CX132" s="32">
        <v>1</v>
      </c>
      <c r="CY132" s="32"/>
      <c r="CZ132" s="30"/>
      <c r="DA132" s="45" t="str">
        <f>IF(CO132="", "", IF(CO132&gt;12, CM132+5, IF(CO132&lt;10, CM132-5, CM132)))</f>
        <v/>
      </c>
      <c r="DB132" s="39">
        <v>1</v>
      </c>
      <c r="DC132" s="39"/>
      <c r="DD132" s="40"/>
      <c r="DE132" s="45" t="str">
        <f>IF(CS132="", "", IF(CS132&gt;12, CQ132+5, IF(CS132&lt;10, CQ132-5, CQ132)))</f>
        <v/>
      </c>
      <c r="DF132" s="53">
        <v>1</v>
      </c>
      <c r="DG132" s="53"/>
      <c r="DH132" s="35"/>
      <c r="DI132" s="86"/>
      <c r="DJ132" s="35"/>
      <c r="DK132" s="45" t="str">
        <f>IF(CY132="", "", IF(CY132&gt;12, CW132+5, IF(CY132&lt;10, CW132-5, CW132)))</f>
        <v/>
      </c>
      <c r="DL132" s="32">
        <v>1</v>
      </c>
      <c r="DM132" s="32"/>
      <c r="DN132" s="30"/>
      <c r="DO132" s="45" t="str">
        <f>IF(DC132="", "", IF(DC132&gt;12, DA132+5, IF(DC132&lt;10, DA132-5, DA132)))</f>
        <v/>
      </c>
      <c r="DP132" s="39">
        <v>1</v>
      </c>
      <c r="DQ132" s="39"/>
      <c r="DR132" s="40"/>
      <c r="DS132" s="45" t="str">
        <f>IF(DG132="", "", IF(DG132&gt;12, DE132+5, IF(DG132&lt;10, DE132-5, DE132)))</f>
        <v/>
      </c>
      <c r="DT132" s="53">
        <v>1</v>
      </c>
      <c r="DU132" s="53"/>
      <c r="DV132" s="35"/>
      <c r="DW132" s="86"/>
      <c r="DX132" s="35"/>
      <c r="DY132" s="45" t="str">
        <f>IF(DM132="", "", IF(DM132&gt;12, DK132+5, IF(DM132&lt;10, DK132-5, DK132)))</f>
        <v/>
      </c>
      <c r="DZ132" s="32">
        <v>1</v>
      </c>
      <c r="EA132" s="32"/>
      <c r="EB132" s="30"/>
      <c r="EC132" s="45" t="str">
        <f>IF(DQ132="", "", IF(DQ132&gt;12, DO132+5, IF(DQ132&lt;10, DO132-5, DO132)))</f>
        <v/>
      </c>
      <c r="ED132" s="39">
        <v>1</v>
      </c>
      <c r="EE132" s="39"/>
      <c r="EF132" s="40"/>
      <c r="EG132" s="45" t="str">
        <f>IF(DU132="", "", IF(DU132&gt;12, DS132+5, IF(DU132&lt;10, DS132-5, DS132)))</f>
        <v/>
      </c>
      <c r="EH132" s="53">
        <v>1</v>
      </c>
      <c r="EI132" s="53"/>
      <c r="EJ132" s="35"/>
      <c r="EK132" s="86"/>
      <c r="EL132" s="35"/>
      <c r="EM132" s="45" t="str">
        <f>IF(EA132="", "", IF(EA132&gt;12, DY132+5, IF(EA132&lt;10, DY132-5, DY132)))</f>
        <v/>
      </c>
      <c r="EN132" s="32">
        <v>1</v>
      </c>
      <c r="EO132" s="32"/>
      <c r="EP132" s="30"/>
      <c r="EQ132" s="45" t="str">
        <f>IF(EE132="", "", IF(EE132&gt;12, EC132+5, IF(EE132&lt;10, EC132-5, EC132)))</f>
        <v/>
      </c>
      <c r="ER132" s="39">
        <v>1</v>
      </c>
      <c r="ES132" s="39"/>
      <c r="ET132" s="40"/>
      <c r="EU132" s="45" t="str">
        <f>IF(EI132="", "", IF(EI132&gt;12, EG132+5, IF(EI132&lt;10, EG132-5, EG132)))</f>
        <v/>
      </c>
      <c r="EV132" s="53">
        <v>1</v>
      </c>
      <c r="EW132" s="53"/>
      <c r="EX132" s="35"/>
      <c r="EY132" s="86"/>
      <c r="EZ132" s="35"/>
      <c r="FA132" s="45" t="str">
        <f>IF(EO132="", "", IF(EO132&gt;12, EM132+5, IF(EO132&lt;10, EM132-5, EM132)))</f>
        <v/>
      </c>
      <c r="FB132" s="32">
        <v>1</v>
      </c>
      <c r="FC132" s="32"/>
      <c r="FD132" s="30"/>
      <c r="FE132" s="45" t="str">
        <f>IF(ES132="", "", IF(ES132&gt;12, EQ132+5, IF(ES132&lt;10, EQ132-5, EQ132)))</f>
        <v/>
      </c>
      <c r="FF132" s="39">
        <v>1</v>
      </c>
      <c r="FG132" s="39"/>
      <c r="FH132" s="40"/>
      <c r="FI132" s="45" t="str">
        <f>IF(EW132="", "", IF(EW132&gt;12, EU132+5, IF(EW132&lt;10, EU132-5, EU132)))</f>
        <v/>
      </c>
      <c r="FJ132" s="53">
        <v>1</v>
      </c>
      <c r="FK132" s="53"/>
      <c r="FL132" s="35"/>
      <c r="FM132" s="86"/>
    </row>
    <row r="133" spans="1:169" ht="15.75" customHeight="1">
      <c r="A133" s="86"/>
      <c r="C133" s="31"/>
      <c r="D133" s="32">
        <v>2</v>
      </c>
      <c r="E133" s="32"/>
      <c r="F133" s="40"/>
      <c r="G133" s="39"/>
      <c r="H133" s="39">
        <v>2</v>
      </c>
      <c r="I133" s="39"/>
      <c r="J133" s="40"/>
      <c r="K133" s="53"/>
      <c r="L133" s="53">
        <v>2</v>
      </c>
      <c r="M133" s="53"/>
      <c r="O133" s="86"/>
      <c r="Q133" s="45" t="str">
        <f>IF(E132="", "", IF(E132&gt;12, C132+5, IF(E132&lt;10, C132-5, C132)))</f>
        <v/>
      </c>
      <c r="R133" s="32">
        <v>2</v>
      </c>
      <c r="S133" s="32"/>
      <c r="T133" s="40"/>
      <c r="U133" s="45" t="str">
        <f>IF(I132="", "", IF(I132&gt;12, G132+5, IF(I132&lt;10, G132-5, G132)))</f>
        <v/>
      </c>
      <c r="V133" s="39">
        <v>2</v>
      </c>
      <c r="W133" s="39"/>
      <c r="X133" s="40"/>
      <c r="Y133" s="45" t="str">
        <f>IF(M132="", "", IF(M132&gt;12, K132+5, IF(M132&lt;10, K132-5, K132)))</f>
        <v/>
      </c>
      <c r="Z133" s="53">
        <v>2</v>
      </c>
      <c r="AA133" s="53"/>
      <c r="AC133" s="86"/>
      <c r="AD133" s="35"/>
      <c r="AE133" s="45" t="str">
        <f>IF(S132="", "", IF(S132&gt;12, Q132+5, IF(S132&lt;10, Q132-5, Q132)))</f>
        <v/>
      </c>
      <c r="AF133" s="32">
        <v>2</v>
      </c>
      <c r="AG133" s="32"/>
      <c r="AH133" s="40"/>
      <c r="AI133" s="45" t="str">
        <f>IF(W132="", "", IF(W132&gt;12, U132+5, IF(W132&lt;10, U132-5, U132)))</f>
        <v/>
      </c>
      <c r="AJ133" s="39">
        <v>2</v>
      </c>
      <c r="AK133" s="39"/>
      <c r="AL133" s="40"/>
      <c r="AM133" s="45" t="str">
        <f>IF(AA132="", "", IF(AA132&gt;12, Y132+5, IF(AA132&lt;10, Y132-5, Y132)))</f>
        <v/>
      </c>
      <c r="AN133" s="53">
        <v>2</v>
      </c>
      <c r="AO133" s="53"/>
      <c r="AP133" s="35"/>
      <c r="AQ133" s="86"/>
      <c r="AR133" s="35"/>
      <c r="AS133" s="45" t="str">
        <f>IF(AG132="", "", IF(AG132&gt;12, AE132+5, IF(AG132&lt;10, AE132-5, AE132)))</f>
        <v/>
      </c>
      <c r="AT133" s="32">
        <v>2</v>
      </c>
      <c r="AU133" s="32"/>
      <c r="AV133" s="40"/>
      <c r="AW133" s="45" t="str">
        <f>IF(AK132="", "", IF(AK132&gt;12, AI132+5, IF(AK132&lt;10, AI132-5, AI132)))</f>
        <v/>
      </c>
      <c r="AX133" s="39">
        <v>2</v>
      </c>
      <c r="AY133" s="39"/>
      <c r="AZ133" s="40"/>
      <c r="BA133" s="45" t="str">
        <f>IF(AO132="", "", IF(AO132&gt;12, AM132+5, IF(AO132&lt;10, AM132-5, AM132)))</f>
        <v/>
      </c>
      <c r="BB133" s="53">
        <v>2</v>
      </c>
      <c r="BC133" s="53"/>
      <c r="BD133" s="35"/>
      <c r="BE133" s="86"/>
      <c r="BF133" s="35"/>
      <c r="BG133" s="45" t="str">
        <f>IF(AU132="", "", IF(AU132&gt;12, AS132+5, IF(AU132&lt;10, AS132-5, AS132)))</f>
        <v/>
      </c>
      <c r="BH133" s="32">
        <v>2</v>
      </c>
      <c r="BI133" s="32"/>
      <c r="BJ133" s="40"/>
      <c r="BK133" s="45" t="str">
        <f>IF(AY132="", "", IF(AY132&gt;12, AW132+5, IF(AY132&lt;10, AW132-5, AW132)))</f>
        <v/>
      </c>
      <c r="BL133" s="39">
        <v>2</v>
      </c>
      <c r="BM133" s="39"/>
      <c r="BN133" s="40"/>
      <c r="BO133" s="45" t="str">
        <f>IF(BC132="", "", IF(BC132&gt;12, BA132+5, IF(BC132&lt;10, BA132-5, BA132)))</f>
        <v/>
      </c>
      <c r="BP133" s="53">
        <v>2</v>
      </c>
      <c r="BQ133" s="53"/>
      <c r="BR133" s="35"/>
      <c r="BS133" s="86"/>
      <c r="BT133" s="35"/>
      <c r="BU133" s="45" t="str">
        <f>IF(BI132="", "", IF(BI132&gt;12, BG132+5, IF(BI132&lt;10, BG132-5, BG132)))</f>
        <v/>
      </c>
      <c r="BV133" s="32">
        <v>2</v>
      </c>
      <c r="BW133" s="32"/>
      <c r="BX133" s="40"/>
      <c r="BY133" s="45" t="str">
        <f>IF(BM132="", "", IF(BM132&gt;12, BK132+5, IF(BM132&lt;10, BK132-5, BK132)))</f>
        <v/>
      </c>
      <c r="BZ133" s="39">
        <v>2</v>
      </c>
      <c r="CA133" s="39"/>
      <c r="CB133" s="40"/>
      <c r="CC133" s="45" t="str">
        <f>IF(BQ132="", "", IF(BQ132&gt;12, BO132+5, IF(BQ132&lt;10, BO132-5, BO132)))</f>
        <v/>
      </c>
      <c r="CD133" s="53">
        <v>2</v>
      </c>
      <c r="CE133" s="53"/>
      <c r="CF133" s="35"/>
      <c r="CG133" s="86"/>
      <c r="CH133" s="35"/>
      <c r="CI133" s="45" t="str">
        <f>IF(BW132="", "", IF(BW132&gt;12, BU132+5, IF(BW132&lt;10, BU132-5, BU132)))</f>
        <v/>
      </c>
      <c r="CJ133" s="32">
        <v>2</v>
      </c>
      <c r="CK133" s="32"/>
      <c r="CL133" s="40"/>
      <c r="CM133" s="45" t="str">
        <f>IF(CA132="", "", IF(CA132&gt;12, BY132+5, IF(CA132&lt;10, BY132-5, BY132)))</f>
        <v/>
      </c>
      <c r="CN133" s="39">
        <v>2</v>
      </c>
      <c r="CO133" s="39"/>
      <c r="CP133" s="40"/>
      <c r="CQ133" s="45" t="str">
        <f>IF(CE132="", "", IF(CE132&gt;12, CC132+5, IF(CE132&lt;10, CC132-5, CC132)))</f>
        <v/>
      </c>
      <c r="CR133" s="53">
        <v>2</v>
      </c>
      <c r="CS133" s="53"/>
      <c r="CT133" s="35"/>
      <c r="CU133" s="86"/>
      <c r="CV133" s="35"/>
      <c r="CW133" s="45" t="str">
        <f>IF(CK132="", "", IF(CK132&gt;12, CI132+5, IF(CK132&lt;10, CI132-5, CI132)))</f>
        <v/>
      </c>
      <c r="CX133" s="32">
        <v>2</v>
      </c>
      <c r="CY133" s="32"/>
      <c r="CZ133" s="40"/>
      <c r="DA133" s="45" t="str">
        <f>IF(CO132="", "", IF(CO132&gt;12, CM132+5, IF(CO132&lt;10, CM132-5, CM132)))</f>
        <v/>
      </c>
      <c r="DB133" s="39">
        <v>2</v>
      </c>
      <c r="DC133" s="39"/>
      <c r="DD133" s="40"/>
      <c r="DE133" s="45" t="str">
        <f>IF(CS132="", "", IF(CS132&gt;12, CQ132+5, IF(CS132&lt;10, CQ132-5, CQ132)))</f>
        <v/>
      </c>
      <c r="DF133" s="53">
        <v>2</v>
      </c>
      <c r="DG133" s="53"/>
      <c r="DH133" s="35"/>
      <c r="DI133" s="86"/>
      <c r="DJ133" s="35"/>
      <c r="DK133" s="45" t="str">
        <f>IF(CY132="", "", IF(CY132&gt;12, CW132+5, IF(CY132&lt;10, CW132-5, CW132)))</f>
        <v/>
      </c>
      <c r="DL133" s="32">
        <v>2</v>
      </c>
      <c r="DM133" s="32"/>
      <c r="DN133" s="40"/>
      <c r="DO133" s="45" t="str">
        <f>IF(DC132="", "", IF(DC132&gt;12, DA132+5, IF(DC132&lt;10, DA132-5, DA132)))</f>
        <v/>
      </c>
      <c r="DP133" s="39">
        <v>2</v>
      </c>
      <c r="DQ133" s="39"/>
      <c r="DR133" s="40"/>
      <c r="DS133" s="45" t="str">
        <f>IF(DG132="", "", IF(DG132&gt;12, DE132+5, IF(DG132&lt;10, DE132-5, DE132)))</f>
        <v/>
      </c>
      <c r="DT133" s="53">
        <v>2</v>
      </c>
      <c r="DU133" s="53"/>
      <c r="DV133" s="35"/>
      <c r="DW133" s="86"/>
      <c r="DX133" s="35"/>
      <c r="DY133" s="45" t="str">
        <f>IF(DM132="", "", IF(DM132&gt;12, DK132+5, IF(DM132&lt;10, DK132-5, DK132)))</f>
        <v/>
      </c>
      <c r="DZ133" s="32">
        <v>2</v>
      </c>
      <c r="EA133" s="32"/>
      <c r="EB133" s="40"/>
      <c r="EC133" s="45" t="str">
        <f>IF(DQ132="", "", IF(DQ132&gt;12, DO132+5, IF(DQ132&lt;10, DO132-5, DO132)))</f>
        <v/>
      </c>
      <c r="ED133" s="39">
        <v>2</v>
      </c>
      <c r="EE133" s="39"/>
      <c r="EF133" s="40"/>
      <c r="EG133" s="45" t="str">
        <f>IF(DU132="", "", IF(DU132&gt;12, DS132+5, IF(DU132&lt;10, DS132-5, DS132)))</f>
        <v/>
      </c>
      <c r="EH133" s="53">
        <v>2</v>
      </c>
      <c r="EI133" s="53"/>
      <c r="EJ133" s="35"/>
      <c r="EK133" s="86"/>
      <c r="EL133" s="35"/>
      <c r="EM133" s="45" t="str">
        <f>IF(EA132="", "", IF(EA132&gt;12, DY132+5, IF(EA132&lt;10, DY132-5, DY132)))</f>
        <v/>
      </c>
      <c r="EN133" s="32">
        <v>2</v>
      </c>
      <c r="EO133" s="32"/>
      <c r="EP133" s="40"/>
      <c r="EQ133" s="45" t="str">
        <f>IF(EE132="", "", IF(EE132&gt;12, EC132+5, IF(EE132&lt;10, EC132-5, EC132)))</f>
        <v/>
      </c>
      <c r="ER133" s="39">
        <v>2</v>
      </c>
      <c r="ES133" s="39"/>
      <c r="ET133" s="40"/>
      <c r="EU133" s="45" t="str">
        <f>IF(EI132="", "", IF(EI132&gt;12, EG132+5, IF(EI132&lt;10, EG132-5, EG132)))</f>
        <v/>
      </c>
      <c r="EV133" s="53">
        <v>2</v>
      </c>
      <c r="EW133" s="53"/>
      <c r="EX133" s="35"/>
      <c r="EY133" s="86"/>
      <c r="EZ133" s="35"/>
      <c r="FA133" s="45" t="str">
        <f>IF(EO132="", "", IF(EO132&gt;12, EM132+5, IF(EO132&lt;10, EM132-5, EM132)))</f>
        <v/>
      </c>
      <c r="FB133" s="32">
        <v>2</v>
      </c>
      <c r="FC133" s="32"/>
      <c r="FD133" s="40"/>
      <c r="FE133" s="45" t="str">
        <f>IF(ES132="", "", IF(ES132&gt;12, EQ132+5, IF(ES132&lt;10, EQ132-5, EQ132)))</f>
        <v/>
      </c>
      <c r="FF133" s="39">
        <v>2</v>
      </c>
      <c r="FG133" s="39"/>
      <c r="FH133" s="40"/>
      <c r="FI133" s="45" t="str">
        <f>IF(EW132="", "", IF(EW132&gt;12, EU132+5, IF(EW132&lt;10, EU132-5, EU132)))</f>
        <v/>
      </c>
      <c r="FJ133" s="53">
        <v>2</v>
      </c>
      <c r="FK133" s="53"/>
      <c r="FL133" s="35"/>
      <c r="FM133" s="86"/>
    </row>
    <row r="134" spans="1:169" ht="15.75" customHeight="1">
      <c r="A134" s="86"/>
      <c r="C134" s="31"/>
      <c r="D134" s="32">
        <v>3</v>
      </c>
      <c r="E134" s="32"/>
      <c r="F134" s="40"/>
      <c r="G134" s="39"/>
      <c r="H134" s="39">
        <v>3</v>
      </c>
      <c r="I134" s="39"/>
      <c r="J134" s="40"/>
      <c r="K134" s="53"/>
      <c r="L134" s="53">
        <v>3</v>
      </c>
      <c r="M134" s="53"/>
      <c r="O134" s="86"/>
      <c r="Q134" s="45" t="str">
        <f>IF(E132="", "", IF(E132&gt;12, C132+5, IF(E132&lt;10, C132-5, C132)))</f>
        <v/>
      </c>
      <c r="R134" s="32">
        <v>3</v>
      </c>
      <c r="S134" s="32"/>
      <c r="T134" s="40"/>
      <c r="U134" s="45" t="str">
        <f>IF(I132="", "", IF(I132&gt;12, G132+5, IF(I132&lt;10, G132-5, G132)))</f>
        <v/>
      </c>
      <c r="V134" s="39">
        <v>3</v>
      </c>
      <c r="W134" s="39"/>
      <c r="X134" s="40"/>
      <c r="Y134" s="45" t="str">
        <f>IF(M132="", "", IF(M132&gt;12, K132+5, IF(M132&lt;10, K132-5, K132)))</f>
        <v/>
      </c>
      <c r="Z134" s="53">
        <v>3</v>
      </c>
      <c r="AA134" s="53"/>
      <c r="AC134" s="86"/>
      <c r="AD134" s="35"/>
      <c r="AE134" s="45" t="str">
        <f>IF(S132="", "", IF(S132&gt;12, Q132+5, IF(S132&lt;10, Q132-5, Q132)))</f>
        <v/>
      </c>
      <c r="AF134" s="32">
        <v>3</v>
      </c>
      <c r="AG134" s="32"/>
      <c r="AH134" s="40"/>
      <c r="AI134" s="45" t="str">
        <f>IF(W132="", "", IF(W132&gt;12, U132+5, IF(W132&lt;10, U132-5, U132)))</f>
        <v/>
      </c>
      <c r="AJ134" s="39">
        <v>3</v>
      </c>
      <c r="AK134" s="39"/>
      <c r="AL134" s="40"/>
      <c r="AM134" s="45" t="str">
        <f>IF(AA132="", "", IF(AA132&gt;12, Y132+5, IF(AA132&lt;10, Y132-5, Y132)))</f>
        <v/>
      </c>
      <c r="AN134" s="53">
        <v>3</v>
      </c>
      <c r="AO134" s="53"/>
      <c r="AP134" s="35"/>
      <c r="AQ134" s="86"/>
      <c r="AR134" s="35"/>
      <c r="AS134" s="45" t="str">
        <f>IF(AG132="", "", IF(AG132&gt;12, AE132+5, IF(AG132&lt;10, AE132-5, AE132)))</f>
        <v/>
      </c>
      <c r="AT134" s="32">
        <v>3</v>
      </c>
      <c r="AU134" s="32"/>
      <c r="AV134" s="40"/>
      <c r="AW134" s="45" t="str">
        <f>IF(AK132="", "", IF(AK132&gt;12, AI132+5, IF(AK132&lt;10, AI132-5, AI132)))</f>
        <v/>
      </c>
      <c r="AX134" s="39">
        <v>3</v>
      </c>
      <c r="AY134" s="39"/>
      <c r="AZ134" s="40"/>
      <c r="BA134" s="45" t="str">
        <f>IF(AO132="", "", IF(AO132&gt;12, AM132+5, IF(AO132&lt;10, AM132-5, AM132)))</f>
        <v/>
      </c>
      <c r="BB134" s="53">
        <v>3</v>
      </c>
      <c r="BC134" s="53"/>
      <c r="BD134" s="35"/>
      <c r="BE134" s="86"/>
      <c r="BF134" s="35"/>
      <c r="BG134" s="45" t="str">
        <f>IF(AU132="", "", IF(AU132&gt;12, AS132+5, IF(AU132&lt;10, AS132-5, AS132)))</f>
        <v/>
      </c>
      <c r="BH134" s="32">
        <v>3</v>
      </c>
      <c r="BI134" s="32"/>
      <c r="BJ134" s="40"/>
      <c r="BK134" s="45" t="str">
        <f>IF(AY132="", "", IF(AY132&gt;12, AW132+5, IF(AY132&lt;10, AW132-5, AW132)))</f>
        <v/>
      </c>
      <c r="BL134" s="39">
        <v>3</v>
      </c>
      <c r="BM134" s="39"/>
      <c r="BN134" s="40"/>
      <c r="BO134" s="45" t="str">
        <f>IF(BC132="", "", IF(BC132&gt;12, BA132+5, IF(BC132&lt;10, BA132-5, BA132)))</f>
        <v/>
      </c>
      <c r="BP134" s="53">
        <v>3</v>
      </c>
      <c r="BQ134" s="53"/>
      <c r="BR134" s="35"/>
      <c r="BS134" s="86"/>
      <c r="BT134" s="35"/>
      <c r="BU134" s="45" t="str">
        <f>IF(BI132="", "", IF(BI132&gt;12, BG132+5, IF(BI132&lt;10, BG132-5, BG132)))</f>
        <v/>
      </c>
      <c r="BV134" s="32">
        <v>3</v>
      </c>
      <c r="BW134" s="32"/>
      <c r="BX134" s="40"/>
      <c r="BY134" s="45" t="str">
        <f>IF(BM132="", "", IF(BM132&gt;12, BK132+5, IF(BM132&lt;10, BK132-5, BK132)))</f>
        <v/>
      </c>
      <c r="BZ134" s="39">
        <v>3</v>
      </c>
      <c r="CA134" s="39"/>
      <c r="CB134" s="40"/>
      <c r="CC134" s="45" t="str">
        <f>IF(BQ132="", "", IF(BQ132&gt;12, BO132+5, IF(BQ132&lt;10, BO132-5, BO132)))</f>
        <v/>
      </c>
      <c r="CD134" s="53">
        <v>3</v>
      </c>
      <c r="CE134" s="53"/>
      <c r="CF134" s="35"/>
      <c r="CG134" s="86"/>
      <c r="CH134" s="35"/>
      <c r="CI134" s="45" t="str">
        <f>IF(BW132="", "", IF(BW132&gt;12, BU132+5, IF(BW132&lt;10, BU132-5, BU132)))</f>
        <v/>
      </c>
      <c r="CJ134" s="32">
        <v>3</v>
      </c>
      <c r="CK134" s="32"/>
      <c r="CL134" s="40"/>
      <c r="CM134" s="45" t="str">
        <f>IF(CA132="", "", IF(CA132&gt;12, BY132+5, IF(CA132&lt;10, BY132-5, BY132)))</f>
        <v/>
      </c>
      <c r="CN134" s="39">
        <v>3</v>
      </c>
      <c r="CO134" s="39"/>
      <c r="CP134" s="40"/>
      <c r="CQ134" s="45" t="str">
        <f>IF(CE132="", "", IF(CE132&gt;12, CC132+5, IF(CE132&lt;10, CC132-5, CC132)))</f>
        <v/>
      </c>
      <c r="CR134" s="53">
        <v>3</v>
      </c>
      <c r="CS134" s="53"/>
      <c r="CT134" s="35"/>
      <c r="CU134" s="86"/>
      <c r="CV134" s="35"/>
      <c r="CW134" s="45" t="str">
        <f>IF(CK132="", "", IF(CK132&gt;12, CI132+5, IF(CK132&lt;10, CI132-5, CI132)))</f>
        <v/>
      </c>
      <c r="CX134" s="32">
        <v>3</v>
      </c>
      <c r="CY134" s="32"/>
      <c r="CZ134" s="40"/>
      <c r="DA134" s="45" t="str">
        <f>IF(CO132="", "", IF(CO132&gt;12, CM132+5, IF(CO132&lt;10, CM132-5, CM132)))</f>
        <v/>
      </c>
      <c r="DB134" s="39">
        <v>3</v>
      </c>
      <c r="DC134" s="39"/>
      <c r="DD134" s="40"/>
      <c r="DE134" s="45" t="str">
        <f>IF(CS132="", "", IF(CS132&gt;12, CQ132+5, IF(CS132&lt;10, CQ132-5, CQ132)))</f>
        <v/>
      </c>
      <c r="DF134" s="53">
        <v>3</v>
      </c>
      <c r="DG134" s="53"/>
      <c r="DH134" s="35"/>
      <c r="DI134" s="86"/>
      <c r="DJ134" s="35"/>
      <c r="DK134" s="45" t="str">
        <f>IF(CY132="", "", IF(CY132&gt;12, CW132+5, IF(CY132&lt;10, CW132-5, CW132)))</f>
        <v/>
      </c>
      <c r="DL134" s="32">
        <v>3</v>
      </c>
      <c r="DM134" s="32"/>
      <c r="DN134" s="40"/>
      <c r="DO134" s="45" t="str">
        <f>IF(DC132="", "", IF(DC132&gt;12, DA132+5, IF(DC132&lt;10, DA132-5, DA132)))</f>
        <v/>
      </c>
      <c r="DP134" s="39">
        <v>3</v>
      </c>
      <c r="DQ134" s="39"/>
      <c r="DR134" s="40"/>
      <c r="DS134" s="45" t="str">
        <f>IF(DG132="", "", IF(DG132&gt;12, DE132+5, IF(DG132&lt;10, DE132-5, DE132)))</f>
        <v/>
      </c>
      <c r="DT134" s="53">
        <v>3</v>
      </c>
      <c r="DU134" s="53"/>
      <c r="DV134" s="35"/>
      <c r="DW134" s="86"/>
      <c r="DX134" s="35"/>
      <c r="DY134" s="45" t="str">
        <f>IF(DM132="", "", IF(DM132&gt;12, DK132+5, IF(DM132&lt;10, DK132-5, DK132)))</f>
        <v/>
      </c>
      <c r="DZ134" s="32">
        <v>3</v>
      </c>
      <c r="EA134" s="32"/>
      <c r="EB134" s="40"/>
      <c r="EC134" s="45" t="str">
        <f>IF(DQ132="", "", IF(DQ132&gt;12, DO132+5, IF(DQ132&lt;10, DO132-5, DO132)))</f>
        <v/>
      </c>
      <c r="ED134" s="39">
        <v>3</v>
      </c>
      <c r="EE134" s="39"/>
      <c r="EF134" s="40"/>
      <c r="EG134" s="45" t="str">
        <f>IF(DU132="", "", IF(DU132&gt;12, DS132+5, IF(DU132&lt;10, DS132-5, DS132)))</f>
        <v/>
      </c>
      <c r="EH134" s="53">
        <v>3</v>
      </c>
      <c r="EI134" s="53"/>
      <c r="EJ134" s="35"/>
      <c r="EK134" s="86"/>
      <c r="EL134" s="35"/>
      <c r="EM134" s="45" t="str">
        <f>IF(EA132="", "", IF(EA132&gt;12, DY132+5, IF(EA132&lt;10, DY132-5, DY132)))</f>
        <v/>
      </c>
      <c r="EN134" s="32">
        <v>3</v>
      </c>
      <c r="EO134" s="32"/>
      <c r="EP134" s="40"/>
      <c r="EQ134" s="45" t="str">
        <f>IF(EE132="", "", IF(EE132&gt;12, EC132+5, IF(EE132&lt;10, EC132-5, EC132)))</f>
        <v/>
      </c>
      <c r="ER134" s="39">
        <v>3</v>
      </c>
      <c r="ES134" s="39"/>
      <c r="ET134" s="40"/>
      <c r="EU134" s="45" t="str">
        <f>IF(EI132="", "", IF(EI132&gt;12, EG132+5, IF(EI132&lt;10, EG132-5, EG132)))</f>
        <v/>
      </c>
      <c r="EV134" s="53">
        <v>3</v>
      </c>
      <c r="EW134" s="53"/>
      <c r="EX134" s="35"/>
      <c r="EY134" s="86"/>
      <c r="EZ134" s="35"/>
      <c r="FA134" s="45" t="str">
        <f>IF(EO132="", "", IF(EO132&gt;12, EM132+5, IF(EO132&lt;10, EM132-5, EM132)))</f>
        <v/>
      </c>
      <c r="FB134" s="32">
        <v>3</v>
      </c>
      <c r="FC134" s="32"/>
      <c r="FD134" s="40"/>
      <c r="FE134" s="45" t="str">
        <f>IF(ES132="", "", IF(ES132&gt;12, EQ132+5, IF(ES132&lt;10, EQ132-5, EQ132)))</f>
        <v/>
      </c>
      <c r="FF134" s="39">
        <v>3</v>
      </c>
      <c r="FG134" s="39"/>
      <c r="FH134" s="40"/>
      <c r="FI134" s="45" t="str">
        <f>IF(EW132="", "", IF(EW132&gt;12, EU132+5, IF(EW132&lt;10, EU132-5, EU132)))</f>
        <v/>
      </c>
      <c r="FJ134" s="53">
        <v>3</v>
      </c>
      <c r="FK134" s="53"/>
      <c r="FL134" s="35"/>
      <c r="FM134" s="86"/>
    </row>
    <row r="135" spans="1:169" ht="15.75" customHeight="1">
      <c r="A135" s="86"/>
      <c r="B135" s="30"/>
      <c r="C135" s="28"/>
      <c r="D135" s="28"/>
      <c r="E135" s="28"/>
      <c r="G135" s="40"/>
      <c r="H135" s="40"/>
      <c r="I135" s="40"/>
      <c r="O135" s="86"/>
      <c r="Q135" s="28"/>
      <c r="R135" s="28"/>
      <c r="S135" s="28"/>
      <c r="U135" s="40"/>
      <c r="V135" s="40"/>
      <c r="W135" s="40"/>
      <c r="AC135" s="86"/>
      <c r="AD135" s="35"/>
      <c r="AE135" s="28"/>
      <c r="AF135" s="28"/>
      <c r="AG135" s="28"/>
      <c r="AH135" s="35"/>
      <c r="AI135" s="40"/>
      <c r="AJ135" s="40"/>
      <c r="AK135" s="40"/>
      <c r="AL135" s="35"/>
      <c r="AM135" s="35"/>
      <c r="AN135" s="35"/>
      <c r="AO135" s="35"/>
      <c r="AP135" s="35"/>
      <c r="AQ135" s="86"/>
      <c r="AR135" s="35"/>
      <c r="AS135" s="28"/>
      <c r="AT135" s="28"/>
      <c r="AU135" s="28"/>
      <c r="AV135" s="35"/>
      <c r="AW135" s="40"/>
      <c r="AX135" s="40"/>
      <c r="AY135" s="40"/>
      <c r="AZ135" s="35"/>
      <c r="BA135" s="35"/>
      <c r="BB135" s="35"/>
      <c r="BC135" s="35"/>
      <c r="BD135" s="35"/>
      <c r="BE135" s="86"/>
      <c r="BF135" s="35"/>
      <c r="BG135" s="28"/>
      <c r="BH135" s="28"/>
      <c r="BI135" s="28"/>
      <c r="BJ135" s="35"/>
      <c r="BK135" s="40"/>
      <c r="BL135" s="40"/>
      <c r="BM135" s="40"/>
      <c r="BN135" s="35"/>
      <c r="BO135" s="35"/>
      <c r="BP135" s="35"/>
      <c r="BQ135" s="35"/>
      <c r="BR135" s="35"/>
      <c r="BS135" s="86"/>
      <c r="BT135" s="35"/>
      <c r="BU135" s="28"/>
      <c r="BV135" s="28"/>
      <c r="BW135" s="28"/>
      <c r="BX135" s="35"/>
      <c r="BY135" s="40"/>
      <c r="BZ135" s="40"/>
      <c r="CA135" s="40"/>
      <c r="CB135" s="35"/>
      <c r="CC135" s="35"/>
      <c r="CD135" s="35"/>
      <c r="CE135" s="35"/>
      <c r="CF135" s="35"/>
      <c r="CG135" s="86"/>
      <c r="CH135" s="35"/>
      <c r="CI135" s="28"/>
      <c r="CJ135" s="28"/>
      <c r="CK135" s="28"/>
      <c r="CL135" s="35"/>
      <c r="CM135" s="40"/>
      <c r="CN135" s="40"/>
      <c r="CO135" s="40"/>
      <c r="CP135" s="35"/>
      <c r="CQ135" s="35"/>
      <c r="CR135" s="35"/>
      <c r="CS135" s="35"/>
      <c r="CT135" s="35"/>
      <c r="CU135" s="86"/>
      <c r="CV135" s="35"/>
      <c r="CW135" s="28"/>
      <c r="CX135" s="28"/>
      <c r="CY135" s="28"/>
      <c r="CZ135" s="35"/>
      <c r="DA135" s="40"/>
      <c r="DB135" s="40"/>
      <c r="DC135" s="40"/>
      <c r="DD135" s="35"/>
      <c r="DE135" s="35"/>
      <c r="DF135" s="35"/>
      <c r="DG135" s="35"/>
      <c r="DH135" s="35"/>
      <c r="DI135" s="86"/>
      <c r="DJ135" s="35"/>
      <c r="DK135" s="28"/>
      <c r="DL135" s="28"/>
      <c r="DM135" s="28"/>
      <c r="DN135" s="35"/>
      <c r="DO135" s="40"/>
      <c r="DP135" s="40"/>
      <c r="DQ135" s="40"/>
      <c r="DR135" s="35"/>
      <c r="DS135" s="35"/>
      <c r="DT135" s="35"/>
      <c r="DU135" s="35"/>
      <c r="DV135" s="35"/>
      <c r="DW135" s="86"/>
      <c r="DX135" s="35"/>
      <c r="DY135" s="28"/>
      <c r="DZ135" s="28"/>
      <c r="EA135" s="28"/>
      <c r="EB135" s="35"/>
      <c r="EC135" s="40"/>
      <c r="ED135" s="40"/>
      <c r="EE135" s="40"/>
      <c r="EF135" s="35"/>
      <c r="EG135" s="35"/>
      <c r="EH135" s="35"/>
      <c r="EI135" s="35"/>
      <c r="EJ135" s="35"/>
      <c r="EK135" s="86"/>
      <c r="EL135" s="35"/>
      <c r="EM135" s="28"/>
      <c r="EN135" s="28"/>
      <c r="EO135" s="28"/>
      <c r="EP135" s="35"/>
      <c r="EQ135" s="40"/>
      <c r="ER135" s="40"/>
      <c r="ES135" s="40"/>
      <c r="ET135" s="35"/>
      <c r="EU135" s="35"/>
      <c r="EV135" s="35"/>
      <c r="EW135" s="35"/>
      <c r="EX135" s="35"/>
      <c r="EY135" s="86"/>
      <c r="EZ135" s="35"/>
      <c r="FA135" s="28"/>
      <c r="FB135" s="28"/>
      <c r="FC135" s="28"/>
      <c r="FD135" s="35"/>
      <c r="FE135" s="40"/>
      <c r="FF135" s="40"/>
      <c r="FG135" s="40"/>
      <c r="FH135" s="35"/>
      <c r="FI135" s="35"/>
      <c r="FJ135" s="35"/>
      <c r="FK135" s="35"/>
      <c r="FL135" s="35"/>
      <c r="FM135" s="86"/>
    </row>
    <row r="136" spans="1:169" ht="15.75" customHeight="1">
      <c r="A136" s="86"/>
      <c r="C136" s="58" t="s">
        <v>19</v>
      </c>
      <c r="D136" s="59"/>
      <c r="E136" s="59"/>
      <c r="G136" s="67" t="s">
        <v>27</v>
      </c>
      <c r="H136" s="59"/>
      <c r="I136" s="59"/>
      <c r="O136" s="86"/>
      <c r="Q136" s="58" t="s">
        <v>19</v>
      </c>
      <c r="R136" s="59"/>
      <c r="S136" s="59"/>
      <c r="U136" s="67" t="s">
        <v>27</v>
      </c>
      <c r="V136" s="59"/>
      <c r="W136" s="59"/>
      <c r="AC136" s="86"/>
      <c r="AD136" s="35"/>
      <c r="AE136" s="58" t="s">
        <v>19</v>
      </c>
      <c r="AF136" s="59"/>
      <c r="AG136" s="59"/>
      <c r="AH136" s="35"/>
      <c r="AI136" s="67" t="s">
        <v>27</v>
      </c>
      <c r="AJ136" s="59"/>
      <c r="AK136" s="59"/>
      <c r="AL136" s="35"/>
      <c r="AM136" s="35"/>
      <c r="AN136" s="35"/>
      <c r="AO136" s="35"/>
      <c r="AP136" s="35"/>
      <c r="AQ136" s="86"/>
      <c r="AR136" s="35"/>
      <c r="AS136" s="58" t="s">
        <v>19</v>
      </c>
      <c r="AT136" s="59"/>
      <c r="AU136" s="59"/>
      <c r="AV136" s="35"/>
      <c r="AW136" s="67" t="s">
        <v>27</v>
      </c>
      <c r="AX136" s="59"/>
      <c r="AY136" s="59"/>
      <c r="AZ136" s="35"/>
      <c r="BA136" s="35"/>
      <c r="BB136" s="35"/>
      <c r="BC136" s="35"/>
      <c r="BD136" s="35"/>
      <c r="BE136" s="86"/>
      <c r="BF136" s="35"/>
      <c r="BG136" s="58" t="s">
        <v>19</v>
      </c>
      <c r="BH136" s="59"/>
      <c r="BI136" s="59"/>
      <c r="BJ136" s="35"/>
      <c r="BK136" s="67" t="s">
        <v>27</v>
      </c>
      <c r="BL136" s="59"/>
      <c r="BM136" s="59"/>
      <c r="BN136" s="35"/>
      <c r="BO136" s="35"/>
      <c r="BP136" s="35"/>
      <c r="BQ136" s="35"/>
      <c r="BR136" s="35"/>
      <c r="BS136" s="86"/>
      <c r="BT136" s="35"/>
      <c r="BU136" s="58" t="s">
        <v>19</v>
      </c>
      <c r="BV136" s="59"/>
      <c r="BW136" s="59"/>
      <c r="BX136" s="35"/>
      <c r="BY136" s="67" t="s">
        <v>27</v>
      </c>
      <c r="BZ136" s="59"/>
      <c r="CA136" s="59"/>
      <c r="CB136" s="35"/>
      <c r="CC136" s="35"/>
      <c r="CD136" s="35"/>
      <c r="CE136" s="35"/>
      <c r="CF136" s="35"/>
      <c r="CG136" s="86"/>
      <c r="CH136" s="35"/>
      <c r="CI136" s="58" t="s">
        <v>19</v>
      </c>
      <c r="CJ136" s="59"/>
      <c r="CK136" s="59"/>
      <c r="CL136" s="35"/>
      <c r="CM136" s="67" t="s">
        <v>27</v>
      </c>
      <c r="CN136" s="59"/>
      <c r="CO136" s="59"/>
      <c r="CP136" s="35"/>
      <c r="CQ136" s="35"/>
      <c r="CR136" s="35"/>
      <c r="CS136" s="35"/>
      <c r="CT136" s="35"/>
      <c r="CU136" s="86"/>
      <c r="CV136" s="35"/>
      <c r="CW136" s="58" t="s">
        <v>19</v>
      </c>
      <c r="CX136" s="59"/>
      <c r="CY136" s="59"/>
      <c r="CZ136" s="35"/>
      <c r="DA136" s="67" t="s">
        <v>27</v>
      </c>
      <c r="DB136" s="59"/>
      <c r="DC136" s="59"/>
      <c r="DD136" s="35"/>
      <c r="DE136" s="35"/>
      <c r="DF136" s="35"/>
      <c r="DG136" s="35"/>
      <c r="DH136" s="35"/>
      <c r="DI136" s="86"/>
      <c r="DJ136" s="35"/>
      <c r="DK136" s="58" t="s">
        <v>19</v>
      </c>
      <c r="DL136" s="59"/>
      <c r="DM136" s="59"/>
      <c r="DN136" s="35"/>
      <c r="DO136" s="67" t="s">
        <v>27</v>
      </c>
      <c r="DP136" s="59"/>
      <c r="DQ136" s="59"/>
      <c r="DR136" s="35"/>
      <c r="DS136" s="35"/>
      <c r="DT136" s="35"/>
      <c r="DU136" s="35"/>
      <c r="DV136" s="35"/>
      <c r="DW136" s="86"/>
      <c r="DX136" s="35"/>
      <c r="DY136" s="58" t="s">
        <v>19</v>
      </c>
      <c r="DZ136" s="59"/>
      <c r="EA136" s="59"/>
      <c r="EB136" s="35"/>
      <c r="EC136" s="67" t="s">
        <v>27</v>
      </c>
      <c r="ED136" s="59"/>
      <c r="EE136" s="59"/>
      <c r="EF136" s="35"/>
      <c r="EG136" s="35"/>
      <c r="EH136" s="35"/>
      <c r="EI136" s="35"/>
      <c r="EJ136" s="35"/>
      <c r="EK136" s="86"/>
      <c r="EL136" s="35"/>
      <c r="EM136" s="58" t="s">
        <v>19</v>
      </c>
      <c r="EN136" s="59"/>
      <c r="EO136" s="59"/>
      <c r="EP136" s="35"/>
      <c r="EQ136" s="67" t="s">
        <v>27</v>
      </c>
      <c r="ER136" s="59"/>
      <c r="ES136" s="59"/>
      <c r="ET136" s="35"/>
      <c r="EU136" s="35"/>
      <c r="EV136" s="35"/>
      <c r="EW136" s="35"/>
      <c r="EX136" s="35"/>
      <c r="EY136" s="86"/>
      <c r="EZ136" s="35"/>
      <c r="FA136" s="58" t="s">
        <v>19</v>
      </c>
      <c r="FB136" s="59"/>
      <c r="FC136" s="59"/>
      <c r="FD136" s="35"/>
      <c r="FE136" s="67" t="s">
        <v>27</v>
      </c>
      <c r="FF136" s="59"/>
      <c r="FG136" s="59"/>
      <c r="FH136" s="35"/>
      <c r="FI136" s="35"/>
      <c r="FJ136" s="35"/>
      <c r="FK136" s="35"/>
      <c r="FL136" s="35"/>
      <c r="FM136" s="86"/>
    </row>
    <row r="137" spans="1:169" ht="15.75" customHeight="1">
      <c r="A137" s="86"/>
      <c r="C137" s="31" t="s">
        <v>4</v>
      </c>
      <c r="D137" s="32" t="s">
        <v>38</v>
      </c>
      <c r="E137" s="32" t="s">
        <v>39</v>
      </c>
      <c r="G137" s="39" t="s">
        <v>4</v>
      </c>
      <c r="H137" s="39" t="s">
        <v>38</v>
      </c>
      <c r="I137" s="39" t="s">
        <v>39</v>
      </c>
      <c r="O137" s="86"/>
      <c r="Q137" s="31" t="s">
        <v>4</v>
      </c>
      <c r="R137" s="32" t="s">
        <v>38</v>
      </c>
      <c r="S137" s="32" t="s">
        <v>39</v>
      </c>
      <c r="U137" s="39" t="s">
        <v>4</v>
      </c>
      <c r="V137" s="39" t="s">
        <v>38</v>
      </c>
      <c r="W137" s="39" t="s">
        <v>39</v>
      </c>
      <c r="AC137" s="86"/>
      <c r="AD137" s="35"/>
      <c r="AE137" s="31" t="s">
        <v>4</v>
      </c>
      <c r="AF137" s="32" t="s">
        <v>38</v>
      </c>
      <c r="AG137" s="32" t="s">
        <v>39</v>
      </c>
      <c r="AH137" s="35"/>
      <c r="AI137" s="39" t="s">
        <v>4</v>
      </c>
      <c r="AJ137" s="39" t="s">
        <v>38</v>
      </c>
      <c r="AK137" s="39" t="s">
        <v>39</v>
      </c>
      <c r="AL137" s="35"/>
      <c r="AM137" s="35"/>
      <c r="AN137" s="35"/>
      <c r="AO137" s="35"/>
      <c r="AP137" s="35"/>
      <c r="AQ137" s="86"/>
      <c r="AR137" s="35"/>
      <c r="AS137" s="31" t="s">
        <v>4</v>
      </c>
      <c r="AT137" s="32" t="s">
        <v>38</v>
      </c>
      <c r="AU137" s="32" t="s">
        <v>39</v>
      </c>
      <c r="AV137" s="35"/>
      <c r="AW137" s="39" t="s">
        <v>4</v>
      </c>
      <c r="AX137" s="39" t="s">
        <v>38</v>
      </c>
      <c r="AY137" s="39" t="s">
        <v>39</v>
      </c>
      <c r="AZ137" s="35"/>
      <c r="BA137" s="35"/>
      <c r="BB137" s="35"/>
      <c r="BC137" s="35"/>
      <c r="BD137" s="35"/>
      <c r="BE137" s="86"/>
      <c r="BF137" s="35"/>
      <c r="BG137" s="31" t="s">
        <v>4</v>
      </c>
      <c r="BH137" s="32" t="s">
        <v>38</v>
      </c>
      <c r="BI137" s="32" t="s">
        <v>39</v>
      </c>
      <c r="BJ137" s="35"/>
      <c r="BK137" s="39" t="s">
        <v>4</v>
      </c>
      <c r="BL137" s="39" t="s">
        <v>38</v>
      </c>
      <c r="BM137" s="39" t="s">
        <v>39</v>
      </c>
      <c r="BN137" s="35"/>
      <c r="BO137" s="35"/>
      <c r="BP137" s="35"/>
      <c r="BQ137" s="35"/>
      <c r="BR137" s="35"/>
      <c r="BS137" s="86"/>
      <c r="BT137" s="35"/>
      <c r="BU137" s="31" t="s">
        <v>4</v>
      </c>
      <c r="BV137" s="32" t="s">
        <v>38</v>
      </c>
      <c r="BW137" s="32" t="s">
        <v>39</v>
      </c>
      <c r="BX137" s="35"/>
      <c r="BY137" s="39" t="s">
        <v>4</v>
      </c>
      <c r="BZ137" s="39" t="s">
        <v>38</v>
      </c>
      <c r="CA137" s="39" t="s">
        <v>39</v>
      </c>
      <c r="CB137" s="35"/>
      <c r="CC137" s="35"/>
      <c r="CD137" s="35"/>
      <c r="CE137" s="35"/>
      <c r="CF137" s="35"/>
      <c r="CG137" s="86"/>
      <c r="CH137" s="35"/>
      <c r="CI137" s="31" t="s">
        <v>4</v>
      </c>
      <c r="CJ137" s="32" t="s">
        <v>38</v>
      </c>
      <c r="CK137" s="32" t="s">
        <v>39</v>
      </c>
      <c r="CL137" s="35"/>
      <c r="CM137" s="39" t="s">
        <v>4</v>
      </c>
      <c r="CN137" s="39" t="s">
        <v>38</v>
      </c>
      <c r="CO137" s="39" t="s">
        <v>39</v>
      </c>
      <c r="CP137" s="35"/>
      <c r="CQ137" s="35"/>
      <c r="CR137" s="35"/>
      <c r="CS137" s="35"/>
      <c r="CT137" s="35"/>
      <c r="CU137" s="86"/>
      <c r="CV137" s="35"/>
      <c r="CW137" s="31" t="s">
        <v>4</v>
      </c>
      <c r="CX137" s="32" t="s">
        <v>38</v>
      </c>
      <c r="CY137" s="32" t="s">
        <v>39</v>
      </c>
      <c r="CZ137" s="35"/>
      <c r="DA137" s="39" t="s">
        <v>4</v>
      </c>
      <c r="DB137" s="39" t="s">
        <v>38</v>
      </c>
      <c r="DC137" s="39" t="s">
        <v>39</v>
      </c>
      <c r="DD137" s="35"/>
      <c r="DE137" s="35"/>
      <c r="DF137" s="35"/>
      <c r="DG137" s="35"/>
      <c r="DH137" s="35"/>
      <c r="DI137" s="86"/>
      <c r="DJ137" s="35"/>
      <c r="DK137" s="31" t="s">
        <v>4</v>
      </c>
      <c r="DL137" s="32" t="s">
        <v>38</v>
      </c>
      <c r="DM137" s="32" t="s">
        <v>39</v>
      </c>
      <c r="DN137" s="35"/>
      <c r="DO137" s="39" t="s">
        <v>4</v>
      </c>
      <c r="DP137" s="39" t="s">
        <v>38</v>
      </c>
      <c r="DQ137" s="39" t="s">
        <v>39</v>
      </c>
      <c r="DR137" s="35"/>
      <c r="DS137" s="35"/>
      <c r="DT137" s="35"/>
      <c r="DU137" s="35"/>
      <c r="DV137" s="35"/>
      <c r="DW137" s="86"/>
      <c r="DX137" s="35"/>
      <c r="DY137" s="31" t="s">
        <v>4</v>
      </c>
      <c r="DZ137" s="32" t="s">
        <v>38</v>
      </c>
      <c r="EA137" s="32" t="s">
        <v>39</v>
      </c>
      <c r="EB137" s="35"/>
      <c r="EC137" s="39" t="s">
        <v>4</v>
      </c>
      <c r="ED137" s="39" t="s">
        <v>38</v>
      </c>
      <c r="EE137" s="39" t="s">
        <v>39</v>
      </c>
      <c r="EF137" s="35"/>
      <c r="EG137" s="35"/>
      <c r="EH137" s="35"/>
      <c r="EI137" s="35"/>
      <c r="EJ137" s="35"/>
      <c r="EK137" s="86"/>
      <c r="EL137" s="35"/>
      <c r="EM137" s="31" t="s">
        <v>4</v>
      </c>
      <c r="EN137" s="32" t="s">
        <v>38</v>
      </c>
      <c r="EO137" s="32" t="s">
        <v>39</v>
      </c>
      <c r="EP137" s="35"/>
      <c r="EQ137" s="39" t="s">
        <v>4</v>
      </c>
      <c r="ER137" s="39" t="s">
        <v>38</v>
      </c>
      <c r="ES137" s="39" t="s">
        <v>39</v>
      </c>
      <c r="ET137" s="35"/>
      <c r="EU137" s="35"/>
      <c r="EV137" s="35"/>
      <c r="EW137" s="35"/>
      <c r="EX137" s="35"/>
      <c r="EY137" s="86"/>
      <c r="EZ137" s="35"/>
      <c r="FA137" s="31" t="s">
        <v>4</v>
      </c>
      <c r="FB137" s="32" t="s">
        <v>38</v>
      </c>
      <c r="FC137" s="32" t="s">
        <v>39</v>
      </c>
      <c r="FD137" s="35"/>
      <c r="FE137" s="39" t="s">
        <v>4</v>
      </c>
      <c r="FF137" s="39" t="s">
        <v>38</v>
      </c>
      <c r="FG137" s="39" t="s">
        <v>39</v>
      </c>
      <c r="FH137" s="35"/>
      <c r="FI137" s="35"/>
      <c r="FJ137" s="35"/>
      <c r="FK137" s="35"/>
      <c r="FL137" s="35"/>
      <c r="FM137" s="86"/>
    </row>
    <row r="138" spans="1:169" ht="15.75" customHeight="1">
      <c r="A138" s="86"/>
      <c r="C138" s="31"/>
      <c r="D138" s="32">
        <v>1</v>
      </c>
      <c r="E138" s="32"/>
      <c r="F138" s="30" t="str">
        <f>"берем около " &amp; INT(0.6*F42)&amp; "кг"</f>
        <v>берем около 0кг</v>
      </c>
      <c r="G138" s="39"/>
      <c r="H138" s="39">
        <v>1</v>
      </c>
      <c r="I138" s="39"/>
      <c r="O138" s="86"/>
      <c r="Q138" s="31" t="str">
        <f>IF(E138="", "", IF(E138&gt;20, C138+1.25, IF(E138&lt;15, C138-1.25, C138)))</f>
        <v/>
      </c>
      <c r="R138" s="32">
        <v>1</v>
      </c>
      <c r="S138" s="32"/>
      <c r="U138" s="45" t="str">
        <f>IF(I138="", "", IF(I138&gt;12, G138+2.5, IF(I138&lt;10, G138-2.5, G138)))</f>
        <v/>
      </c>
      <c r="V138" s="39">
        <v>1</v>
      </c>
      <c r="W138" s="39"/>
      <c r="AC138" s="86"/>
      <c r="AD138" s="35"/>
      <c r="AE138" s="31" t="str">
        <f>IF(S138="", "", IF(S138&gt;20, Q138+1.25, IF(S138&lt;15, Q138-1.25, Q138)))</f>
        <v/>
      </c>
      <c r="AF138" s="32">
        <v>1</v>
      </c>
      <c r="AG138" s="32"/>
      <c r="AH138" s="35"/>
      <c r="AI138" s="45" t="str">
        <f>IF(W138="", "", IF(W138&gt;12, U138+2.5, IF(W138&lt;10, U138-2.5, U138)))</f>
        <v/>
      </c>
      <c r="AJ138" s="39">
        <v>1</v>
      </c>
      <c r="AK138" s="39"/>
      <c r="AL138" s="35"/>
      <c r="AM138" s="35"/>
      <c r="AN138" s="35"/>
      <c r="AO138" s="35"/>
      <c r="AP138" s="35"/>
      <c r="AQ138" s="86"/>
      <c r="AR138" s="35"/>
      <c r="AS138" s="31" t="str">
        <f>IF(AG138="", "", IF(AG138&gt;20, AE138+1.25, IF(AG138&lt;15, AE138-1.25, AE138)))</f>
        <v/>
      </c>
      <c r="AT138" s="32">
        <v>1</v>
      </c>
      <c r="AU138" s="32"/>
      <c r="AV138" s="35"/>
      <c r="AW138" s="45" t="str">
        <f>IF(AK138="", "", IF(AK138&gt;12, AI138+2.5, IF(AK138&lt;10, AI138-2.5, AI138)))</f>
        <v/>
      </c>
      <c r="AX138" s="39">
        <v>1</v>
      </c>
      <c r="AY138" s="39"/>
      <c r="AZ138" s="35"/>
      <c r="BA138" s="35"/>
      <c r="BB138" s="35"/>
      <c r="BC138" s="35"/>
      <c r="BD138" s="35"/>
      <c r="BE138" s="86"/>
      <c r="BF138" s="35"/>
      <c r="BG138" s="31" t="str">
        <f>IF(AU138="", "", IF(AU138&gt;20, AS138+1.25, IF(AU138&lt;15, AS138-1.25, AS138)))</f>
        <v/>
      </c>
      <c r="BH138" s="32">
        <v>1</v>
      </c>
      <c r="BI138" s="32"/>
      <c r="BJ138" s="35"/>
      <c r="BK138" s="45" t="str">
        <f>IF(AY138="", "", IF(AY138&gt;12, AW138+2.5, IF(AY138&lt;10, AW138-2.5, AW138)))</f>
        <v/>
      </c>
      <c r="BL138" s="39">
        <v>1</v>
      </c>
      <c r="BM138" s="39"/>
      <c r="BN138" s="35"/>
      <c r="BO138" s="35"/>
      <c r="BP138" s="35"/>
      <c r="BQ138" s="35"/>
      <c r="BR138" s="35"/>
      <c r="BS138" s="86"/>
      <c r="BT138" s="35"/>
      <c r="BU138" s="31" t="str">
        <f>IF(BI138="", "", IF(BI138&gt;20, BG138+1.25, IF(BI138&lt;15, BG138-1.25, BG138)))</f>
        <v/>
      </c>
      <c r="BV138" s="32">
        <v>1</v>
      </c>
      <c r="BW138" s="32"/>
      <c r="BX138" s="35"/>
      <c r="BY138" s="45" t="str">
        <f>IF(BM138="", "", IF(BM138&gt;12, BK138+2.5, IF(BM138&lt;10, BK138-2.5, BK138)))</f>
        <v/>
      </c>
      <c r="BZ138" s="39">
        <v>1</v>
      </c>
      <c r="CA138" s="39"/>
      <c r="CB138" s="35"/>
      <c r="CC138" s="35"/>
      <c r="CD138" s="35"/>
      <c r="CE138" s="35"/>
      <c r="CF138" s="35"/>
      <c r="CG138" s="86"/>
      <c r="CH138" s="35"/>
      <c r="CI138" s="31" t="str">
        <f>IF(BW138="", "", IF(BW138&gt;20, BU138+1.25, IF(BW138&lt;15, BU138-1.25, BU138)))</f>
        <v/>
      </c>
      <c r="CJ138" s="32">
        <v>1</v>
      </c>
      <c r="CK138" s="32"/>
      <c r="CL138" s="35"/>
      <c r="CM138" s="45" t="str">
        <f>IF(CA138="", "", IF(CA138&gt;12, BY138+2.5, IF(CA138&lt;10, BY138-2.5, BY138)))</f>
        <v/>
      </c>
      <c r="CN138" s="39">
        <v>1</v>
      </c>
      <c r="CO138" s="39"/>
      <c r="CP138" s="35"/>
      <c r="CQ138" s="35"/>
      <c r="CR138" s="35"/>
      <c r="CS138" s="35"/>
      <c r="CT138" s="35"/>
      <c r="CU138" s="86"/>
      <c r="CV138" s="35"/>
      <c r="CW138" s="31" t="str">
        <f>IF(CK138="", "", IF(CK138&gt;20, CI138+1.25, IF(CK138&lt;15, CI138-1.25, CI138)))</f>
        <v/>
      </c>
      <c r="CX138" s="32">
        <v>1</v>
      </c>
      <c r="CY138" s="32"/>
      <c r="CZ138" s="35"/>
      <c r="DA138" s="45" t="str">
        <f>IF(CO138="", "", IF(CO138&gt;12, CM138+2.5, IF(CO138&lt;10, CM138-2.5, CM138)))</f>
        <v/>
      </c>
      <c r="DB138" s="39">
        <v>1</v>
      </c>
      <c r="DC138" s="39"/>
      <c r="DD138" s="35"/>
      <c r="DE138" s="35"/>
      <c r="DF138" s="35"/>
      <c r="DG138" s="35"/>
      <c r="DH138" s="35"/>
      <c r="DI138" s="86"/>
      <c r="DJ138" s="35"/>
      <c r="DK138" s="31" t="str">
        <f>IF(CY138="", "", IF(CY138&gt;20, CW138+1.25, IF(CY138&lt;15, CW138-1.25, CW138)))</f>
        <v/>
      </c>
      <c r="DL138" s="32">
        <v>1</v>
      </c>
      <c r="DM138" s="32"/>
      <c r="DN138" s="35"/>
      <c r="DO138" s="45" t="str">
        <f>IF(DC138="", "", IF(DC138&gt;12, DA138+2.5, IF(DC138&lt;10, DA138-2.5, DA138)))</f>
        <v/>
      </c>
      <c r="DP138" s="39">
        <v>1</v>
      </c>
      <c r="DQ138" s="39"/>
      <c r="DR138" s="35"/>
      <c r="DS138" s="35"/>
      <c r="DT138" s="35"/>
      <c r="DU138" s="35"/>
      <c r="DV138" s="35"/>
      <c r="DW138" s="86"/>
      <c r="DX138" s="35"/>
      <c r="DY138" s="31" t="str">
        <f>IF(DM138="", "", IF(DM138&gt;20, DK138+1.25, IF(DM138&lt;15, DK138-1.25, DK138)))</f>
        <v/>
      </c>
      <c r="DZ138" s="32">
        <v>1</v>
      </c>
      <c r="EA138" s="32"/>
      <c r="EB138" s="35"/>
      <c r="EC138" s="45" t="str">
        <f>IF(DQ138="", "", IF(DQ138&gt;12, DO138+2.5, IF(DQ138&lt;10, DO138-2.5, DO138)))</f>
        <v/>
      </c>
      <c r="ED138" s="39">
        <v>1</v>
      </c>
      <c r="EE138" s="39"/>
      <c r="EF138" s="35"/>
      <c r="EG138" s="35"/>
      <c r="EH138" s="35"/>
      <c r="EI138" s="35"/>
      <c r="EJ138" s="35"/>
      <c r="EK138" s="86"/>
      <c r="EL138" s="35"/>
      <c r="EM138" s="31" t="str">
        <f>IF(EA138="", "", IF(EA138&gt;20, DY138+1.25, IF(EA138&lt;15, DY138-1.25, DY138)))</f>
        <v/>
      </c>
      <c r="EN138" s="32">
        <v>1</v>
      </c>
      <c r="EO138" s="32"/>
      <c r="EP138" s="35"/>
      <c r="EQ138" s="45" t="str">
        <f>IF(EE138="", "", IF(EE138&gt;12, EC138+2.5, IF(EE138&lt;10, EC138-2.5, EC138)))</f>
        <v/>
      </c>
      <c r="ER138" s="39">
        <v>1</v>
      </c>
      <c r="ES138" s="39"/>
      <c r="ET138" s="35"/>
      <c r="EU138" s="35"/>
      <c r="EV138" s="35"/>
      <c r="EW138" s="35"/>
      <c r="EX138" s="35"/>
      <c r="EY138" s="86"/>
      <c r="EZ138" s="35"/>
      <c r="FA138" s="31" t="str">
        <f>IF(EO138="", "", IF(EO138&gt;20, EM138+1.25, IF(EO138&lt;15, EM138-1.25, EM138)))</f>
        <v/>
      </c>
      <c r="FB138" s="32">
        <v>1</v>
      </c>
      <c r="FC138" s="32"/>
      <c r="FD138" s="35"/>
      <c r="FE138" s="45" t="str">
        <f>IF(ES138="", "", IF(ES138&gt;12, EQ138+2.5, IF(ES138&lt;10, EQ138-2.5, EQ138)))</f>
        <v/>
      </c>
      <c r="FF138" s="39">
        <v>1</v>
      </c>
      <c r="FG138" s="39"/>
      <c r="FH138" s="35"/>
      <c r="FI138" s="35"/>
      <c r="FJ138" s="35"/>
      <c r="FK138" s="35"/>
      <c r="FL138" s="35"/>
      <c r="FM138" s="86"/>
    </row>
    <row r="139" spans="1:169" ht="15.75" customHeight="1">
      <c r="A139" s="86"/>
      <c r="C139" s="31"/>
      <c r="D139" s="32">
        <v>2</v>
      </c>
      <c r="E139" s="32"/>
      <c r="G139" s="39"/>
      <c r="H139" s="39">
        <v>2</v>
      </c>
      <c r="I139" s="39"/>
      <c r="O139" s="86"/>
      <c r="Q139" s="31" t="str">
        <f>IF(E138="", "", IF(E138&gt;20, C138+1.25, IF(E138&lt;15, C138-1.25, C138)))</f>
        <v/>
      </c>
      <c r="R139" s="32">
        <v>2</v>
      </c>
      <c r="S139" s="32"/>
      <c r="U139" s="45" t="str">
        <f>IF(I138="", "", IF(I138&gt;12, G138+2.5, IF(I138&lt;10, G138-2.5, G138)))</f>
        <v/>
      </c>
      <c r="V139" s="39">
        <v>2</v>
      </c>
      <c r="W139" s="39"/>
      <c r="AC139" s="86"/>
      <c r="AD139" s="35"/>
      <c r="AE139" s="31" t="str">
        <f>IF(S138="", "", IF(S138&gt;20, Q138+1.25, IF(S138&lt;15, Q138-1.25, Q138)))</f>
        <v/>
      </c>
      <c r="AF139" s="32">
        <v>2</v>
      </c>
      <c r="AG139" s="32"/>
      <c r="AH139" s="35"/>
      <c r="AI139" s="45" t="str">
        <f>IF(W138="", "", IF(W138&gt;12, U138+2.5, IF(W138&lt;10, U138-2.5, U138)))</f>
        <v/>
      </c>
      <c r="AJ139" s="39">
        <v>2</v>
      </c>
      <c r="AK139" s="39"/>
      <c r="AL139" s="35"/>
      <c r="AM139" s="35"/>
      <c r="AN139" s="35"/>
      <c r="AO139" s="35"/>
      <c r="AP139" s="35"/>
      <c r="AQ139" s="86"/>
      <c r="AR139" s="35"/>
      <c r="AS139" s="31" t="str">
        <f>IF(AG138="", "", IF(AG138&gt;20, AE138+1.25, IF(AG138&lt;15, AE138-1.25, AE138)))</f>
        <v/>
      </c>
      <c r="AT139" s="32">
        <v>2</v>
      </c>
      <c r="AU139" s="32"/>
      <c r="AV139" s="35"/>
      <c r="AW139" s="45" t="str">
        <f>IF(AK138="", "", IF(AK138&gt;12, AI138+2.5, IF(AK138&lt;10, AI138-2.5, AI138)))</f>
        <v/>
      </c>
      <c r="AX139" s="39">
        <v>2</v>
      </c>
      <c r="AY139" s="39"/>
      <c r="AZ139" s="35"/>
      <c r="BA139" s="35"/>
      <c r="BB139" s="35"/>
      <c r="BC139" s="35"/>
      <c r="BD139" s="35"/>
      <c r="BE139" s="86"/>
      <c r="BF139" s="35"/>
      <c r="BG139" s="31" t="str">
        <f>IF(AU138="", "", IF(AU138&gt;20, AS138+1.25, IF(AU138&lt;15, AS138-1.25, AS138)))</f>
        <v/>
      </c>
      <c r="BH139" s="32">
        <v>2</v>
      </c>
      <c r="BI139" s="32"/>
      <c r="BJ139" s="35"/>
      <c r="BK139" s="45" t="str">
        <f>IF(AY138="", "", IF(AY138&gt;12, AW138+2.5, IF(AY138&lt;10, AW138-2.5, AW138)))</f>
        <v/>
      </c>
      <c r="BL139" s="39">
        <v>2</v>
      </c>
      <c r="BM139" s="39"/>
      <c r="BN139" s="35"/>
      <c r="BO139" s="35"/>
      <c r="BP139" s="35"/>
      <c r="BQ139" s="35"/>
      <c r="BR139" s="35"/>
      <c r="BS139" s="86"/>
      <c r="BT139" s="35"/>
      <c r="BU139" s="31" t="str">
        <f>IF(BI138="", "", IF(BI138&gt;20, BG138+1.25, IF(BI138&lt;15, BG138-1.25, BG138)))</f>
        <v/>
      </c>
      <c r="BV139" s="32">
        <v>2</v>
      </c>
      <c r="BW139" s="32"/>
      <c r="BX139" s="35"/>
      <c r="BY139" s="45" t="str">
        <f>IF(BM138="", "", IF(BM138&gt;12, BK138+2.5, IF(BM138&lt;10, BK138-2.5, BK138)))</f>
        <v/>
      </c>
      <c r="BZ139" s="39">
        <v>2</v>
      </c>
      <c r="CA139" s="39"/>
      <c r="CB139" s="35"/>
      <c r="CC139" s="35"/>
      <c r="CD139" s="35"/>
      <c r="CE139" s="35"/>
      <c r="CF139" s="35"/>
      <c r="CG139" s="86"/>
      <c r="CH139" s="35"/>
      <c r="CI139" s="31" t="str">
        <f>IF(BW138="", "", IF(BW138&gt;20, BU138+1.25, IF(BW138&lt;15, BU138-1.25, BU138)))</f>
        <v/>
      </c>
      <c r="CJ139" s="32">
        <v>2</v>
      </c>
      <c r="CK139" s="32"/>
      <c r="CL139" s="35"/>
      <c r="CM139" s="45" t="str">
        <f>IF(CA138="", "", IF(CA138&gt;12, BY138+2.5, IF(CA138&lt;10, BY138-2.5, BY138)))</f>
        <v/>
      </c>
      <c r="CN139" s="39">
        <v>2</v>
      </c>
      <c r="CO139" s="39"/>
      <c r="CP139" s="35"/>
      <c r="CQ139" s="35"/>
      <c r="CR139" s="35"/>
      <c r="CS139" s="35"/>
      <c r="CT139" s="35"/>
      <c r="CU139" s="86"/>
      <c r="CV139" s="35"/>
      <c r="CW139" s="31" t="str">
        <f>IF(CK138="", "", IF(CK138&gt;20, CI138+1.25, IF(CK138&lt;15, CI138-1.25, CI138)))</f>
        <v/>
      </c>
      <c r="CX139" s="32">
        <v>2</v>
      </c>
      <c r="CY139" s="32"/>
      <c r="CZ139" s="35"/>
      <c r="DA139" s="45" t="str">
        <f>IF(CO138="", "", IF(CO138&gt;12, CM138+2.5, IF(CO138&lt;10, CM138-2.5, CM138)))</f>
        <v/>
      </c>
      <c r="DB139" s="39">
        <v>2</v>
      </c>
      <c r="DC139" s="39"/>
      <c r="DD139" s="35"/>
      <c r="DE139" s="35"/>
      <c r="DF139" s="35"/>
      <c r="DG139" s="35"/>
      <c r="DH139" s="35"/>
      <c r="DI139" s="86"/>
      <c r="DJ139" s="35"/>
      <c r="DK139" s="31" t="str">
        <f>IF(CY138="", "", IF(CY138&gt;20, CW138+1.25, IF(CY138&lt;15, CW138-1.25, CW138)))</f>
        <v/>
      </c>
      <c r="DL139" s="32">
        <v>2</v>
      </c>
      <c r="DM139" s="32"/>
      <c r="DN139" s="35"/>
      <c r="DO139" s="45" t="str">
        <f>IF(DC138="", "", IF(DC138&gt;12, DA138+2.5, IF(DC138&lt;10, DA138-2.5, DA138)))</f>
        <v/>
      </c>
      <c r="DP139" s="39">
        <v>2</v>
      </c>
      <c r="DQ139" s="39"/>
      <c r="DR139" s="35"/>
      <c r="DS139" s="35"/>
      <c r="DT139" s="35"/>
      <c r="DU139" s="35"/>
      <c r="DV139" s="35"/>
      <c r="DW139" s="86"/>
      <c r="DX139" s="35"/>
      <c r="DY139" s="31" t="str">
        <f>IF(DM138="", "", IF(DM138&gt;20, DK138+1.25, IF(DM138&lt;15, DK138-1.25, DK138)))</f>
        <v/>
      </c>
      <c r="DZ139" s="32">
        <v>2</v>
      </c>
      <c r="EA139" s="32"/>
      <c r="EB139" s="35"/>
      <c r="EC139" s="45" t="str">
        <f>IF(DQ138="", "", IF(DQ138&gt;12, DO138+2.5, IF(DQ138&lt;10, DO138-2.5, DO138)))</f>
        <v/>
      </c>
      <c r="ED139" s="39">
        <v>2</v>
      </c>
      <c r="EE139" s="39"/>
      <c r="EF139" s="35"/>
      <c r="EG139" s="35"/>
      <c r="EH139" s="35"/>
      <c r="EI139" s="35"/>
      <c r="EJ139" s="35"/>
      <c r="EK139" s="86"/>
      <c r="EL139" s="35"/>
      <c r="EM139" s="31" t="str">
        <f>IF(EA138="", "", IF(EA138&gt;20, DY138+1.25, IF(EA138&lt;15, DY138-1.25, DY138)))</f>
        <v/>
      </c>
      <c r="EN139" s="32">
        <v>2</v>
      </c>
      <c r="EO139" s="32"/>
      <c r="EP139" s="35"/>
      <c r="EQ139" s="45" t="str">
        <f>IF(EE138="", "", IF(EE138&gt;12, EC138+2.5, IF(EE138&lt;10, EC138-2.5, EC138)))</f>
        <v/>
      </c>
      <c r="ER139" s="39">
        <v>2</v>
      </c>
      <c r="ES139" s="39"/>
      <c r="ET139" s="35"/>
      <c r="EU139" s="35"/>
      <c r="EV139" s="35"/>
      <c r="EW139" s="35"/>
      <c r="EX139" s="35"/>
      <c r="EY139" s="86"/>
      <c r="EZ139" s="35"/>
      <c r="FA139" s="31" t="str">
        <f>IF(EO138="", "", IF(EO138&gt;20, EM138+1.25, IF(EO138&lt;15, EM138-1.25, EM138)))</f>
        <v/>
      </c>
      <c r="FB139" s="32">
        <v>2</v>
      </c>
      <c r="FC139" s="32"/>
      <c r="FD139" s="35"/>
      <c r="FE139" s="45" t="str">
        <f>IF(ES138="", "", IF(ES138&gt;12, EQ138+2.5, IF(ES138&lt;10, EQ138-2.5, EQ138)))</f>
        <v/>
      </c>
      <c r="FF139" s="39">
        <v>2</v>
      </c>
      <c r="FG139" s="39"/>
      <c r="FH139" s="35"/>
      <c r="FI139" s="35"/>
      <c r="FJ139" s="35"/>
      <c r="FK139" s="35"/>
      <c r="FL139" s="35"/>
      <c r="FM139" s="86"/>
    </row>
    <row r="140" spans="1:169" ht="15.75" customHeight="1">
      <c r="A140" s="86"/>
      <c r="C140" s="31"/>
      <c r="D140" s="32">
        <v>3</v>
      </c>
      <c r="E140" s="32"/>
      <c r="G140" s="39"/>
      <c r="H140" s="39">
        <v>3</v>
      </c>
      <c r="I140" s="39"/>
      <c r="O140" s="86"/>
      <c r="Q140" s="31" t="str">
        <f>IF(E138="", "", IF(E138&gt;20, C138+1.25, IF(E138&lt;15, C138-1.25, C138)))</f>
        <v/>
      </c>
      <c r="R140" s="32">
        <v>3</v>
      </c>
      <c r="S140" s="32"/>
      <c r="U140" s="45" t="str">
        <f>IF(I138="", "", IF(I138&gt;12, G138+2.5, IF(I138&lt;10, G138-2.5, G138)))</f>
        <v/>
      </c>
      <c r="V140" s="39">
        <v>3</v>
      </c>
      <c r="W140" s="39"/>
      <c r="AC140" s="86"/>
      <c r="AD140" s="35"/>
      <c r="AE140" s="31" t="str">
        <f>IF(S138="", "", IF(S138&gt;20, Q138+1.25, IF(S138&lt;15, Q138-1.25, Q138)))</f>
        <v/>
      </c>
      <c r="AF140" s="32">
        <v>3</v>
      </c>
      <c r="AG140" s="32"/>
      <c r="AH140" s="35"/>
      <c r="AI140" s="45" t="str">
        <f>IF(W138="", "", IF(W138&gt;12, U138+2.5, IF(W138&lt;10, U138-2.5, U138)))</f>
        <v/>
      </c>
      <c r="AJ140" s="39">
        <v>3</v>
      </c>
      <c r="AK140" s="39"/>
      <c r="AL140" s="35"/>
      <c r="AM140" s="35"/>
      <c r="AN140" s="35"/>
      <c r="AO140" s="35"/>
      <c r="AP140" s="35"/>
      <c r="AQ140" s="86"/>
      <c r="AR140" s="35"/>
      <c r="AS140" s="31" t="str">
        <f>IF(AG138="", "", IF(AG138&gt;20, AE138+1.25, IF(AG138&lt;15, AE138-1.25, AE138)))</f>
        <v/>
      </c>
      <c r="AT140" s="32">
        <v>3</v>
      </c>
      <c r="AU140" s="32"/>
      <c r="AV140" s="35"/>
      <c r="AW140" s="45" t="str">
        <f>IF(AK138="", "", IF(AK138&gt;12, AI138+2.5, IF(AK138&lt;10, AI138-2.5, AI138)))</f>
        <v/>
      </c>
      <c r="AX140" s="39">
        <v>3</v>
      </c>
      <c r="AY140" s="39"/>
      <c r="AZ140" s="35"/>
      <c r="BA140" s="35"/>
      <c r="BB140" s="35"/>
      <c r="BC140" s="35"/>
      <c r="BD140" s="35"/>
      <c r="BE140" s="86"/>
      <c r="BF140" s="35"/>
      <c r="BG140" s="31" t="str">
        <f>IF(AU138="", "", IF(AU138&gt;20, AS138+1.25, IF(AU138&lt;15, AS138-1.25, AS138)))</f>
        <v/>
      </c>
      <c r="BH140" s="32">
        <v>3</v>
      </c>
      <c r="BI140" s="32"/>
      <c r="BJ140" s="35"/>
      <c r="BK140" s="45" t="str">
        <f>IF(AY138="", "", IF(AY138&gt;12, AW138+2.5, IF(AY138&lt;10, AW138-2.5, AW138)))</f>
        <v/>
      </c>
      <c r="BL140" s="39">
        <v>3</v>
      </c>
      <c r="BM140" s="39"/>
      <c r="BN140" s="35"/>
      <c r="BO140" s="35"/>
      <c r="BP140" s="35"/>
      <c r="BQ140" s="35"/>
      <c r="BR140" s="35"/>
      <c r="BS140" s="86"/>
      <c r="BT140" s="35"/>
      <c r="BU140" s="31" t="str">
        <f>IF(BI138="", "", IF(BI138&gt;20, BG138+1.25, IF(BI138&lt;15, BG138-1.25, BG138)))</f>
        <v/>
      </c>
      <c r="BV140" s="32">
        <v>3</v>
      </c>
      <c r="BW140" s="32"/>
      <c r="BX140" s="35"/>
      <c r="BY140" s="45" t="str">
        <f>IF(BM138="", "", IF(BM138&gt;12, BK138+2.5, IF(BM138&lt;10, BK138-2.5, BK138)))</f>
        <v/>
      </c>
      <c r="BZ140" s="39">
        <v>3</v>
      </c>
      <c r="CA140" s="39"/>
      <c r="CB140" s="35"/>
      <c r="CC140" s="35"/>
      <c r="CD140" s="35"/>
      <c r="CE140" s="35"/>
      <c r="CF140" s="35"/>
      <c r="CG140" s="86"/>
      <c r="CH140" s="35"/>
      <c r="CI140" s="31" t="str">
        <f>IF(BW138="", "", IF(BW138&gt;20, BU138+1.25, IF(BW138&lt;15, BU138-1.25, BU138)))</f>
        <v/>
      </c>
      <c r="CJ140" s="32">
        <v>3</v>
      </c>
      <c r="CK140" s="32"/>
      <c r="CL140" s="35"/>
      <c r="CM140" s="45" t="str">
        <f>IF(CA138="", "", IF(CA138&gt;12, BY138+2.5, IF(CA138&lt;10, BY138-2.5, BY138)))</f>
        <v/>
      </c>
      <c r="CN140" s="39">
        <v>3</v>
      </c>
      <c r="CO140" s="39"/>
      <c r="CP140" s="35"/>
      <c r="CQ140" s="35"/>
      <c r="CR140" s="35"/>
      <c r="CS140" s="35"/>
      <c r="CT140" s="35"/>
      <c r="CU140" s="86"/>
      <c r="CV140" s="35"/>
      <c r="CW140" s="31" t="str">
        <f>IF(CK138="", "", IF(CK138&gt;20, CI138+1.25, IF(CK138&lt;15, CI138-1.25, CI138)))</f>
        <v/>
      </c>
      <c r="CX140" s="32">
        <v>3</v>
      </c>
      <c r="CY140" s="32"/>
      <c r="CZ140" s="35"/>
      <c r="DA140" s="45" t="str">
        <f>IF(CO138="", "", IF(CO138&gt;12, CM138+2.5, IF(CO138&lt;10, CM138-2.5, CM138)))</f>
        <v/>
      </c>
      <c r="DB140" s="39">
        <v>3</v>
      </c>
      <c r="DC140" s="39"/>
      <c r="DD140" s="35"/>
      <c r="DE140" s="35"/>
      <c r="DF140" s="35"/>
      <c r="DG140" s="35"/>
      <c r="DH140" s="35"/>
      <c r="DI140" s="86"/>
      <c r="DJ140" s="35"/>
      <c r="DK140" s="31" t="str">
        <f>IF(CY138="", "", IF(CY138&gt;20, CW138+1.25, IF(CY138&lt;15, CW138-1.25, CW138)))</f>
        <v/>
      </c>
      <c r="DL140" s="32">
        <v>3</v>
      </c>
      <c r="DM140" s="32"/>
      <c r="DN140" s="35"/>
      <c r="DO140" s="45" t="str">
        <f>IF(DC138="", "", IF(DC138&gt;12, DA138+2.5, IF(DC138&lt;10, DA138-2.5, DA138)))</f>
        <v/>
      </c>
      <c r="DP140" s="39">
        <v>3</v>
      </c>
      <c r="DQ140" s="39"/>
      <c r="DR140" s="35"/>
      <c r="DS140" s="35"/>
      <c r="DT140" s="35"/>
      <c r="DU140" s="35"/>
      <c r="DV140" s="35"/>
      <c r="DW140" s="86"/>
      <c r="DX140" s="35"/>
      <c r="DY140" s="31" t="str">
        <f>IF(DM138="", "", IF(DM138&gt;20, DK138+1.25, IF(DM138&lt;15, DK138-1.25, DK138)))</f>
        <v/>
      </c>
      <c r="DZ140" s="32">
        <v>3</v>
      </c>
      <c r="EA140" s="32"/>
      <c r="EB140" s="35"/>
      <c r="EC140" s="45" t="str">
        <f>IF(DQ138="", "", IF(DQ138&gt;12, DO138+2.5, IF(DQ138&lt;10, DO138-2.5, DO138)))</f>
        <v/>
      </c>
      <c r="ED140" s="39">
        <v>3</v>
      </c>
      <c r="EE140" s="39"/>
      <c r="EF140" s="35"/>
      <c r="EG140" s="35"/>
      <c r="EH140" s="35"/>
      <c r="EI140" s="35"/>
      <c r="EJ140" s="35"/>
      <c r="EK140" s="86"/>
      <c r="EL140" s="35"/>
      <c r="EM140" s="31" t="str">
        <f>IF(EA138="", "", IF(EA138&gt;20, DY138+1.25, IF(EA138&lt;15, DY138-1.25, DY138)))</f>
        <v/>
      </c>
      <c r="EN140" s="32">
        <v>3</v>
      </c>
      <c r="EO140" s="32"/>
      <c r="EP140" s="35"/>
      <c r="EQ140" s="45" t="str">
        <f>IF(EE138="", "", IF(EE138&gt;12, EC138+2.5, IF(EE138&lt;10, EC138-2.5, EC138)))</f>
        <v/>
      </c>
      <c r="ER140" s="39">
        <v>3</v>
      </c>
      <c r="ES140" s="39"/>
      <c r="ET140" s="35"/>
      <c r="EU140" s="35"/>
      <c r="EV140" s="35"/>
      <c r="EW140" s="35"/>
      <c r="EX140" s="35"/>
      <c r="EY140" s="86"/>
      <c r="EZ140" s="35"/>
      <c r="FA140" s="31" t="str">
        <f>IF(EO138="", "", IF(EO138&gt;20, EM138+1.25, IF(EO138&lt;15, EM138-1.25, EM138)))</f>
        <v/>
      </c>
      <c r="FB140" s="32">
        <v>3</v>
      </c>
      <c r="FC140" s="32"/>
      <c r="FD140" s="35"/>
      <c r="FE140" s="45" t="str">
        <f>IF(ES138="", "", IF(ES138&gt;12, EQ138+2.5, IF(ES138&lt;10, EQ138-2.5, EQ138)))</f>
        <v/>
      </c>
      <c r="FF140" s="39">
        <v>3</v>
      </c>
      <c r="FG140" s="39"/>
      <c r="FH140" s="35"/>
      <c r="FI140" s="35"/>
      <c r="FJ140" s="35"/>
      <c r="FK140" s="35"/>
      <c r="FL140" s="35"/>
      <c r="FM140" s="86"/>
    </row>
    <row r="141" spans="1:169" ht="15.75" customHeight="1">
      <c r="A141" s="86"/>
      <c r="B141" s="30"/>
      <c r="C141" s="28"/>
      <c r="D141" s="28"/>
      <c r="E141" s="28"/>
      <c r="O141" s="86"/>
      <c r="Q141" s="28"/>
      <c r="R141" s="28"/>
      <c r="S141" s="28"/>
      <c r="AC141" s="86"/>
      <c r="AD141" s="35"/>
      <c r="AE141" s="28"/>
      <c r="AF141" s="28"/>
      <c r="AG141" s="28"/>
      <c r="AH141" s="35"/>
      <c r="AI141" s="35"/>
      <c r="AJ141" s="35"/>
      <c r="AK141" s="35"/>
      <c r="AL141" s="35"/>
      <c r="AM141" s="35"/>
      <c r="AN141" s="35"/>
      <c r="AO141" s="35"/>
      <c r="AP141" s="35"/>
      <c r="AQ141" s="86"/>
      <c r="AR141" s="35"/>
      <c r="AS141" s="28"/>
      <c r="AT141" s="28"/>
      <c r="AU141" s="28"/>
      <c r="AV141" s="35"/>
      <c r="AW141" s="35"/>
      <c r="AX141" s="35"/>
      <c r="AY141" s="35"/>
      <c r="AZ141" s="35"/>
      <c r="BA141" s="35"/>
      <c r="BB141" s="35"/>
      <c r="BC141" s="35"/>
      <c r="BD141" s="35"/>
      <c r="BE141" s="86"/>
      <c r="BF141" s="35"/>
      <c r="BG141" s="28"/>
      <c r="BH141" s="28"/>
      <c r="BI141" s="28"/>
      <c r="BJ141" s="35"/>
      <c r="BK141" s="35"/>
      <c r="BL141" s="35"/>
      <c r="BM141" s="35"/>
      <c r="BN141" s="35"/>
      <c r="BO141" s="35"/>
      <c r="BP141" s="35"/>
      <c r="BQ141" s="35"/>
      <c r="BR141" s="35"/>
      <c r="BS141" s="86"/>
      <c r="BT141" s="35"/>
      <c r="BU141" s="28"/>
      <c r="BV141" s="28"/>
      <c r="BW141" s="28"/>
      <c r="BX141" s="35"/>
      <c r="BY141" s="35"/>
      <c r="BZ141" s="35"/>
      <c r="CA141" s="35"/>
      <c r="CB141" s="35"/>
      <c r="CC141" s="35"/>
      <c r="CD141" s="35"/>
      <c r="CE141" s="35"/>
      <c r="CF141" s="35"/>
      <c r="CG141" s="86"/>
      <c r="CH141" s="35"/>
      <c r="CI141" s="28"/>
      <c r="CJ141" s="28"/>
      <c r="CK141" s="28"/>
      <c r="CL141" s="35"/>
      <c r="CM141" s="35"/>
      <c r="CN141" s="35"/>
      <c r="CO141" s="35"/>
      <c r="CP141" s="35"/>
      <c r="CQ141" s="35"/>
      <c r="CR141" s="35"/>
      <c r="CS141" s="35"/>
      <c r="CT141" s="35"/>
      <c r="CU141" s="86"/>
      <c r="CV141" s="35"/>
      <c r="CW141" s="28"/>
      <c r="CX141" s="28"/>
      <c r="CY141" s="28"/>
      <c r="CZ141" s="35"/>
      <c r="DA141" s="35"/>
      <c r="DB141" s="35"/>
      <c r="DC141" s="35"/>
      <c r="DD141" s="35"/>
      <c r="DE141" s="35"/>
      <c r="DF141" s="35"/>
      <c r="DG141" s="35"/>
      <c r="DH141" s="35"/>
      <c r="DI141" s="86"/>
      <c r="DJ141" s="35"/>
      <c r="DK141" s="28"/>
      <c r="DL141" s="28"/>
      <c r="DM141" s="28"/>
      <c r="DN141" s="35"/>
      <c r="DO141" s="35"/>
      <c r="DP141" s="35"/>
      <c r="DQ141" s="35"/>
      <c r="DR141" s="35"/>
      <c r="DS141" s="35"/>
      <c r="DT141" s="35"/>
      <c r="DU141" s="35"/>
      <c r="DV141" s="35"/>
      <c r="DW141" s="86"/>
      <c r="DX141" s="35"/>
      <c r="DY141" s="28"/>
      <c r="DZ141" s="28"/>
      <c r="EA141" s="28"/>
      <c r="EB141" s="35"/>
      <c r="EC141" s="35"/>
      <c r="ED141" s="35"/>
      <c r="EE141" s="35"/>
      <c r="EF141" s="35"/>
      <c r="EG141" s="35"/>
      <c r="EH141" s="35"/>
      <c r="EI141" s="35"/>
      <c r="EJ141" s="35"/>
      <c r="EK141" s="86"/>
      <c r="EL141" s="35"/>
      <c r="EM141" s="28"/>
      <c r="EN141" s="28"/>
      <c r="EO141" s="28"/>
      <c r="EP141" s="35"/>
      <c r="EQ141" s="35"/>
      <c r="ER141" s="35"/>
      <c r="ES141" s="35"/>
      <c r="ET141" s="35"/>
      <c r="EU141" s="35"/>
      <c r="EV141" s="35"/>
      <c r="EW141" s="35"/>
      <c r="EX141" s="35"/>
      <c r="EY141" s="86"/>
      <c r="EZ141" s="35"/>
      <c r="FA141" s="28"/>
      <c r="FB141" s="28"/>
      <c r="FC141" s="28"/>
      <c r="FD141" s="35"/>
      <c r="FE141" s="35"/>
      <c r="FF141" s="35"/>
      <c r="FG141" s="35"/>
      <c r="FH141" s="35"/>
      <c r="FI141" s="35"/>
      <c r="FJ141" s="35"/>
      <c r="FK141" s="35"/>
      <c r="FL141" s="35"/>
      <c r="FM141" s="86"/>
    </row>
    <row r="142" spans="1:169" ht="15.75" customHeight="1">
      <c r="A142" s="86"/>
      <c r="C142" s="87" t="s">
        <v>20</v>
      </c>
      <c r="D142" s="88"/>
      <c r="E142" s="89"/>
      <c r="O142" s="86"/>
      <c r="Q142" s="87" t="s">
        <v>20</v>
      </c>
      <c r="R142" s="88"/>
      <c r="S142" s="89"/>
      <c r="AC142" s="86"/>
      <c r="AD142" s="35"/>
      <c r="AE142" s="87" t="s">
        <v>20</v>
      </c>
      <c r="AF142" s="88"/>
      <c r="AG142" s="89"/>
      <c r="AH142" s="35"/>
      <c r="AI142" s="35"/>
      <c r="AJ142" s="35"/>
      <c r="AK142" s="35"/>
      <c r="AL142" s="35"/>
      <c r="AM142" s="35"/>
      <c r="AN142" s="35"/>
      <c r="AO142" s="35"/>
      <c r="AP142" s="35"/>
      <c r="AQ142" s="86"/>
      <c r="AR142" s="35"/>
      <c r="AS142" s="87" t="s">
        <v>20</v>
      </c>
      <c r="AT142" s="88"/>
      <c r="AU142" s="89"/>
      <c r="AV142" s="35"/>
      <c r="AW142" s="35"/>
      <c r="AX142" s="35"/>
      <c r="AY142" s="35"/>
      <c r="AZ142" s="35"/>
      <c r="BA142" s="35"/>
      <c r="BB142" s="35"/>
      <c r="BC142" s="35"/>
      <c r="BD142" s="35"/>
      <c r="BE142" s="86"/>
      <c r="BF142" s="35"/>
      <c r="BG142" s="87" t="s">
        <v>20</v>
      </c>
      <c r="BH142" s="88"/>
      <c r="BI142" s="89"/>
      <c r="BJ142" s="35"/>
      <c r="BK142" s="35"/>
      <c r="BL142" s="35"/>
      <c r="BM142" s="35"/>
      <c r="BN142" s="35"/>
      <c r="BO142" s="35"/>
      <c r="BP142" s="35"/>
      <c r="BQ142" s="35"/>
      <c r="BR142" s="35"/>
      <c r="BS142" s="86"/>
      <c r="BT142" s="35"/>
      <c r="BU142" s="87" t="s">
        <v>20</v>
      </c>
      <c r="BV142" s="88"/>
      <c r="BW142" s="89"/>
      <c r="BX142" s="35"/>
      <c r="BY142" s="35"/>
      <c r="BZ142" s="35"/>
      <c r="CA142" s="35"/>
      <c r="CB142" s="35"/>
      <c r="CC142" s="35"/>
      <c r="CD142" s="35"/>
      <c r="CE142" s="35"/>
      <c r="CF142" s="35"/>
      <c r="CG142" s="86"/>
      <c r="CH142" s="35"/>
      <c r="CI142" s="87" t="s">
        <v>20</v>
      </c>
      <c r="CJ142" s="88"/>
      <c r="CK142" s="89"/>
      <c r="CL142" s="35"/>
      <c r="CM142" s="35"/>
      <c r="CN142" s="35"/>
      <c r="CO142" s="35"/>
      <c r="CP142" s="35"/>
      <c r="CQ142" s="35"/>
      <c r="CR142" s="35"/>
      <c r="CS142" s="35"/>
      <c r="CT142" s="35"/>
      <c r="CU142" s="86"/>
      <c r="CV142" s="35"/>
      <c r="CW142" s="87" t="s">
        <v>20</v>
      </c>
      <c r="CX142" s="88"/>
      <c r="CY142" s="89"/>
      <c r="CZ142" s="35"/>
      <c r="DA142" s="35"/>
      <c r="DB142" s="35"/>
      <c r="DC142" s="35"/>
      <c r="DD142" s="35"/>
      <c r="DE142" s="35"/>
      <c r="DF142" s="35"/>
      <c r="DG142" s="35"/>
      <c r="DH142" s="35"/>
      <c r="DI142" s="86"/>
      <c r="DJ142" s="35"/>
      <c r="DK142" s="87" t="s">
        <v>20</v>
      </c>
      <c r="DL142" s="88"/>
      <c r="DM142" s="89"/>
      <c r="DN142" s="35"/>
      <c r="DO142" s="35"/>
      <c r="DP142" s="35"/>
      <c r="DQ142" s="35"/>
      <c r="DR142" s="35"/>
      <c r="DS142" s="35"/>
      <c r="DT142" s="35"/>
      <c r="DU142" s="35"/>
      <c r="DV142" s="35"/>
      <c r="DW142" s="86"/>
      <c r="DX142" s="35"/>
      <c r="DY142" s="87" t="s">
        <v>20</v>
      </c>
      <c r="DZ142" s="88"/>
      <c r="EA142" s="89"/>
      <c r="EB142" s="35"/>
      <c r="EC142" s="35"/>
      <c r="ED142" s="35"/>
      <c r="EE142" s="35"/>
      <c r="EF142" s="35"/>
      <c r="EG142" s="35"/>
      <c r="EH142" s="35"/>
      <c r="EI142" s="35"/>
      <c r="EJ142" s="35"/>
      <c r="EK142" s="86"/>
      <c r="EL142" s="35"/>
      <c r="EM142" s="87" t="s">
        <v>20</v>
      </c>
      <c r="EN142" s="88"/>
      <c r="EO142" s="89"/>
      <c r="EP142" s="35"/>
      <c r="EQ142" s="35"/>
      <c r="ER142" s="35"/>
      <c r="ES142" s="35"/>
      <c r="ET142" s="35"/>
      <c r="EU142" s="35"/>
      <c r="EV142" s="35"/>
      <c r="EW142" s="35"/>
      <c r="EX142" s="35"/>
      <c r="EY142" s="86"/>
      <c r="EZ142" s="35"/>
      <c r="FA142" s="87" t="s">
        <v>20</v>
      </c>
      <c r="FB142" s="88"/>
      <c r="FC142" s="89"/>
      <c r="FD142" s="35"/>
      <c r="FE142" s="35"/>
      <c r="FF142" s="35"/>
      <c r="FG142" s="35"/>
      <c r="FH142" s="35"/>
      <c r="FI142" s="35"/>
      <c r="FJ142" s="35"/>
      <c r="FK142" s="35"/>
      <c r="FL142" s="35"/>
      <c r="FM142" s="86"/>
    </row>
    <row r="143" spans="1:169" ht="15.75" customHeight="1">
      <c r="A143" s="86"/>
      <c r="C143" s="31" t="s">
        <v>4</v>
      </c>
      <c r="D143" s="32" t="s">
        <v>38</v>
      </c>
      <c r="E143" s="32" t="s">
        <v>39</v>
      </c>
      <c r="O143" s="86"/>
      <c r="Q143" s="31" t="s">
        <v>4</v>
      </c>
      <c r="R143" s="32" t="s">
        <v>38</v>
      </c>
      <c r="S143" s="32" t="s">
        <v>39</v>
      </c>
      <c r="AC143" s="86"/>
      <c r="AD143" s="35"/>
      <c r="AE143" s="31" t="s">
        <v>4</v>
      </c>
      <c r="AF143" s="32" t="s">
        <v>38</v>
      </c>
      <c r="AG143" s="32" t="s">
        <v>39</v>
      </c>
      <c r="AH143" s="35"/>
      <c r="AI143" s="35"/>
      <c r="AJ143" s="35"/>
      <c r="AK143" s="35"/>
      <c r="AL143" s="35"/>
      <c r="AM143" s="35"/>
      <c r="AN143" s="35"/>
      <c r="AO143" s="35"/>
      <c r="AP143" s="35"/>
      <c r="AQ143" s="86"/>
      <c r="AR143" s="35"/>
      <c r="AS143" s="31" t="s">
        <v>4</v>
      </c>
      <c r="AT143" s="32" t="s">
        <v>38</v>
      </c>
      <c r="AU143" s="32" t="s">
        <v>39</v>
      </c>
      <c r="AV143" s="35"/>
      <c r="AW143" s="35"/>
      <c r="AX143" s="35"/>
      <c r="AY143" s="35"/>
      <c r="AZ143" s="35"/>
      <c r="BA143" s="35"/>
      <c r="BB143" s="35"/>
      <c r="BC143" s="35"/>
      <c r="BD143" s="35"/>
      <c r="BE143" s="86"/>
      <c r="BF143" s="35"/>
      <c r="BG143" s="31" t="s">
        <v>4</v>
      </c>
      <c r="BH143" s="32" t="s">
        <v>38</v>
      </c>
      <c r="BI143" s="32" t="s">
        <v>39</v>
      </c>
      <c r="BJ143" s="35"/>
      <c r="BK143" s="35"/>
      <c r="BL143" s="35"/>
      <c r="BM143" s="35"/>
      <c r="BN143" s="35"/>
      <c r="BO143" s="35"/>
      <c r="BP143" s="35"/>
      <c r="BQ143" s="35"/>
      <c r="BR143" s="35"/>
      <c r="BS143" s="86"/>
      <c r="BT143" s="35"/>
      <c r="BU143" s="31" t="s">
        <v>4</v>
      </c>
      <c r="BV143" s="32" t="s">
        <v>38</v>
      </c>
      <c r="BW143" s="32" t="s">
        <v>39</v>
      </c>
      <c r="BX143" s="35"/>
      <c r="BY143" s="35"/>
      <c r="BZ143" s="35"/>
      <c r="CA143" s="35"/>
      <c r="CB143" s="35"/>
      <c r="CC143" s="35"/>
      <c r="CD143" s="35"/>
      <c r="CE143" s="35"/>
      <c r="CF143" s="35"/>
      <c r="CG143" s="86"/>
      <c r="CH143" s="35"/>
      <c r="CI143" s="31" t="s">
        <v>4</v>
      </c>
      <c r="CJ143" s="32" t="s">
        <v>38</v>
      </c>
      <c r="CK143" s="32" t="s">
        <v>39</v>
      </c>
      <c r="CL143" s="35"/>
      <c r="CM143" s="35"/>
      <c r="CN143" s="35"/>
      <c r="CO143" s="35"/>
      <c r="CP143" s="35"/>
      <c r="CQ143" s="35"/>
      <c r="CR143" s="35"/>
      <c r="CS143" s="35"/>
      <c r="CT143" s="35"/>
      <c r="CU143" s="86"/>
      <c r="CV143" s="35"/>
      <c r="CW143" s="31" t="s">
        <v>4</v>
      </c>
      <c r="CX143" s="32" t="s">
        <v>38</v>
      </c>
      <c r="CY143" s="32" t="s">
        <v>39</v>
      </c>
      <c r="CZ143" s="35"/>
      <c r="DA143" s="35"/>
      <c r="DB143" s="35"/>
      <c r="DC143" s="35"/>
      <c r="DD143" s="35"/>
      <c r="DE143" s="35"/>
      <c r="DF143" s="35"/>
      <c r="DG143" s="35"/>
      <c r="DH143" s="35"/>
      <c r="DI143" s="86"/>
      <c r="DJ143" s="35"/>
      <c r="DK143" s="31" t="s">
        <v>4</v>
      </c>
      <c r="DL143" s="32" t="s">
        <v>38</v>
      </c>
      <c r="DM143" s="32" t="s">
        <v>39</v>
      </c>
      <c r="DN143" s="35"/>
      <c r="DO143" s="35"/>
      <c r="DP143" s="35"/>
      <c r="DQ143" s="35"/>
      <c r="DR143" s="35"/>
      <c r="DS143" s="35"/>
      <c r="DT143" s="35"/>
      <c r="DU143" s="35"/>
      <c r="DV143" s="35"/>
      <c r="DW143" s="86"/>
      <c r="DX143" s="35"/>
      <c r="DY143" s="31" t="s">
        <v>4</v>
      </c>
      <c r="DZ143" s="32" t="s">
        <v>38</v>
      </c>
      <c r="EA143" s="32" t="s">
        <v>39</v>
      </c>
      <c r="EB143" s="35"/>
      <c r="EC143" s="35"/>
      <c r="ED143" s="35"/>
      <c r="EE143" s="35"/>
      <c r="EF143" s="35"/>
      <c r="EG143" s="35"/>
      <c r="EH143" s="35"/>
      <c r="EI143" s="35"/>
      <c r="EJ143" s="35"/>
      <c r="EK143" s="86"/>
      <c r="EL143" s="35"/>
      <c r="EM143" s="31" t="s">
        <v>4</v>
      </c>
      <c r="EN143" s="32" t="s">
        <v>38</v>
      </c>
      <c r="EO143" s="32" t="s">
        <v>39</v>
      </c>
      <c r="EP143" s="35"/>
      <c r="EQ143" s="35"/>
      <c r="ER143" s="35"/>
      <c r="ES143" s="35"/>
      <c r="ET143" s="35"/>
      <c r="EU143" s="35"/>
      <c r="EV143" s="35"/>
      <c r="EW143" s="35"/>
      <c r="EX143" s="35"/>
      <c r="EY143" s="86"/>
      <c r="EZ143" s="35"/>
      <c r="FA143" s="31" t="s">
        <v>4</v>
      </c>
      <c r="FB143" s="32" t="s">
        <v>38</v>
      </c>
      <c r="FC143" s="32" t="s">
        <v>39</v>
      </c>
      <c r="FD143" s="35"/>
      <c r="FE143" s="35"/>
      <c r="FF143" s="35"/>
      <c r="FG143" s="35"/>
      <c r="FH143" s="35"/>
      <c r="FI143" s="35"/>
      <c r="FJ143" s="35"/>
      <c r="FK143" s="35"/>
      <c r="FL143" s="35"/>
      <c r="FM143" s="86"/>
    </row>
    <row r="144" spans="1:169" ht="15.75" customHeight="1">
      <c r="A144" s="86"/>
      <c r="B144" s="30" t="str">
        <f>"берем около " &amp; INT(0.6*F27)&amp; "кг"</f>
        <v>берем около 0кг</v>
      </c>
      <c r="C144" s="31"/>
      <c r="D144" s="32">
        <v>1</v>
      </c>
      <c r="E144" s="32"/>
      <c r="O144" s="86"/>
      <c r="Q144" s="45" t="str">
        <f>IF(E144="", "", IF(E144&gt;12, C144+5, IF(E144&lt;10, C144-5, C144)))</f>
        <v/>
      </c>
      <c r="R144" s="32">
        <v>1</v>
      </c>
      <c r="S144" s="32"/>
      <c r="AC144" s="86"/>
      <c r="AD144" s="35"/>
      <c r="AE144" s="45" t="str">
        <f>IF(S144="", "", IF(S144&gt;12, Q144+5, IF(S144&lt;10, Q144-5, Q144)))</f>
        <v/>
      </c>
      <c r="AF144" s="32">
        <v>1</v>
      </c>
      <c r="AG144" s="32"/>
      <c r="AH144" s="35"/>
      <c r="AI144" s="35"/>
      <c r="AJ144" s="35"/>
      <c r="AK144" s="35"/>
      <c r="AL144" s="35"/>
      <c r="AM144" s="35"/>
      <c r="AN144" s="35"/>
      <c r="AO144" s="35"/>
      <c r="AP144" s="35"/>
      <c r="AQ144" s="86"/>
      <c r="AR144" s="35"/>
      <c r="AS144" s="45" t="str">
        <f>IF(AG144="", "", IF(AG144&gt;12, AE144+5, IF(AG144&lt;10, AE144-5, AE144)))</f>
        <v/>
      </c>
      <c r="AT144" s="32">
        <v>1</v>
      </c>
      <c r="AU144" s="32"/>
      <c r="AV144" s="35"/>
      <c r="AW144" s="35"/>
      <c r="AX144" s="35"/>
      <c r="AY144" s="35"/>
      <c r="AZ144" s="35"/>
      <c r="BA144" s="35"/>
      <c r="BB144" s="35"/>
      <c r="BC144" s="35"/>
      <c r="BD144" s="35"/>
      <c r="BE144" s="86"/>
      <c r="BF144" s="35"/>
      <c r="BG144" s="45" t="str">
        <f>IF(AU144="", "", IF(AU144&gt;12, AS144+5, IF(AU144&lt;10, AS144-5, AS144)))</f>
        <v/>
      </c>
      <c r="BH144" s="32">
        <v>1</v>
      </c>
      <c r="BI144" s="32"/>
      <c r="BJ144" s="35"/>
      <c r="BK144" s="35"/>
      <c r="BL144" s="35"/>
      <c r="BM144" s="35"/>
      <c r="BN144" s="35"/>
      <c r="BO144" s="35"/>
      <c r="BP144" s="35"/>
      <c r="BQ144" s="35"/>
      <c r="BR144" s="35"/>
      <c r="BS144" s="86"/>
      <c r="BT144" s="35"/>
      <c r="BU144" s="45" t="str">
        <f>IF(BI144="", "", IF(BI144&gt;12, BG144+5, IF(BI144&lt;10, BG144-5, BG144)))</f>
        <v/>
      </c>
      <c r="BV144" s="32">
        <v>1</v>
      </c>
      <c r="BW144" s="32"/>
      <c r="BX144" s="35"/>
      <c r="BY144" s="35"/>
      <c r="BZ144" s="35"/>
      <c r="CA144" s="35"/>
      <c r="CB144" s="35"/>
      <c r="CC144" s="35"/>
      <c r="CD144" s="35"/>
      <c r="CE144" s="35"/>
      <c r="CF144" s="35"/>
      <c r="CG144" s="86"/>
      <c r="CH144" s="35"/>
      <c r="CI144" s="45" t="str">
        <f>IF(BW144="", "", IF(BW144&gt;12, BU144+5, IF(BW144&lt;10, BU144-5, BU144)))</f>
        <v/>
      </c>
      <c r="CJ144" s="32">
        <v>1</v>
      </c>
      <c r="CK144" s="32"/>
      <c r="CL144" s="35"/>
      <c r="CM144" s="35"/>
      <c r="CN144" s="35"/>
      <c r="CO144" s="35"/>
      <c r="CP144" s="35"/>
      <c r="CQ144" s="35"/>
      <c r="CR144" s="35"/>
      <c r="CS144" s="35"/>
      <c r="CT144" s="35"/>
      <c r="CU144" s="86"/>
      <c r="CV144" s="35"/>
      <c r="CW144" s="45" t="str">
        <f>IF(CK144="", "", IF(CK144&gt;12, CI144+5, IF(CK144&lt;10, CI144-5, CI144)))</f>
        <v/>
      </c>
      <c r="CX144" s="32">
        <v>1</v>
      </c>
      <c r="CY144" s="32"/>
      <c r="CZ144" s="35"/>
      <c r="DA144" s="35"/>
      <c r="DB144" s="35"/>
      <c r="DC144" s="35"/>
      <c r="DD144" s="35"/>
      <c r="DE144" s="35"/>
      <c r="DF144" s="35"/>
      <c r="DG144" s="35"/>
      <c r="DH144" s="35"/>
      <c r="DI144" s="86"/>
      <c r="DJ144" s="35"/>
      <c r="DK144" s="45" t="str">
        <f>IF(CY144="", "", IF(CY144&gt;12, CW144+5, IF(CY144&lt;10, CW144-5, CW144)))</f>
        <v/>
      </c>
      <c r="DL144" s="32">
        <v>1</v>
      </c>
      <c r="DM144" s="32"/>
      <c r="DN144" s="35"/>
      <c r="DO144" s="35"/>
      <c r="DP144" s="35"/>
      <c r="DQ144" s="35"/>
      <c r="DR144" s="35"/>
      <c r="DS144" s="35"/>
      <c r="DT144" s="35"/>
      <c r="DU144" s="35"/>
      <c r="DV144" s="35"/>
      <c r="DW144" s="86"/>
      <c r="DX144" s="35"/>
      <c r="DY144" s="45" t="str">
        <f>IF(DM144="", "", IF(DM144&gt;12, DK144+5, IF(DM144&lt;10, DK144-5, DK144)))</f>
        <v/>
      </c>
      <c r="DZ144" s="32">
        <v>1</v>
      </c>
      <c r="EA144" s="32"/>
      <c r="EB144" s="35"/>
      <c r="EC144" s="35"/>
      <c r="ED144" s="35"/>
      <c r="EE144" s="35"/>
      <c r="EF144" s="35"/>
      <c r="EG144" s="35"/>
      <c r="EH144" s="35"/>
      <c r="EI144" s="35"/>
      <c r="EJ144" s="35"/>
      <c r="EK144" s="86"/>
      <c r="EL144" s="35"/>
      <c r="EM144" s="45" t="str">
        <f>IF(EA144="", "", IF(EA144&gt;12, DY144+5, IF(EA144&lt;10, DY144-5, DY144)))</f>
        <v/>
      </c>
      <c r="EN144" s="32">
        <v>1</v>
      </c>
      <c r="EO144" s="32"/>
      <c r="EP144" s="35"/>
      <c r="EQ144" s="35"/>
      <c r="ER144" s="35"/>
      <c r="ES144" s="35"/>
      <c r="ET144" s="35"/>
      <c r="EU144" s="35"/>
      <c r="EV144" s="35"/>
      <c r="EW144" s="35"/>
      <c r="EX144" s="35"/>
      <c r="EY144" s="86"/>
      <c r="EZ144" s="35"/>
      <c r="FA144" s="45" t="str">
        <f>IF(EO144="", "", IF(EO144&gt;12, EM144+5, IF(EO144&lt;10, EM144-5, EM144)))</f>
        <v/>
      </c>
      <c r="FB144" s="32">
        <v>1</v>
      </c>
      <c r="FC144" s="32"/>
      <c r="FD144" s="35"/>
      <c r="FE144" s="35"/>
      <c r="FF144" s="35"/>
      <c r="FG144" s="35"/>
      <c r="FH144" s="35"/>
      <c r="FI144" s="35"/>
      <c r="FJ144" s="35"/>
      <c r="FK144" s="35"/>
      <c r="FL144" s="35"/>
      <c r="FM144" s="86"/>
    </row>
    <row r="145" spans="1:169" ht="15.75" customHeight="1">
      <c r="A145" s="86"/>
      <c r="C145" s="31"/>
      <c r="D145" s="32">
        <v>2</v>
      </c>
      <c r="E145" s="32"/>
      <c r="O145" s="86"/>
      <c r="Q145" s="45" t="str">
        <f>IF(E144="", "", IF(E144&gt;12, C144+5, IF(E144&lt;10, C144-5, C144)))</f>
        <v/>
      </c>
      <c r="R145" s="32">
        <v>2</v>
      </c>
      <c r="S145" s="32"/>
      <c r="AC145" s="86"/>
      <c r="AD145" s="35"/>
      <c r="AE145" s="45" t="str">
        <f>IF(S144="", "", IF(S144&gt;12, Q144+5, IF(S144&lt;10, Q144-5, Q144)))</f>
        <v/>
      </c>
      <c r="AF145" s="32">
        <v>2</v>
      </c>
      <c r="AG145" s="32"/>
      <c r="AH145" s="35"/>
      <c r="AI145" s="35"/>
      <c r="AJ145" s="35"/>
      <c r="AK145" s="35"/>
      <c r="AL145" s="35"/>
      <c r="AM145" s="35"/>
      <c r="AN145" s="35"/>
      <c r="AO145" s="35"/>
      <c r="AP145" s="35"/>
      <c r="AQ145" s="86"/>
      <c r="AR145" s="35"/>
      <c r="AS145" s="45" t="str">
        <f>IF(AG144="", "", IF(AG144&gt;12, AE144+5, IF(AG144&lt;10, AE144-5, AE144)))</f>
        <v/>
      </c>
      <c r="AT145" s="32">
        <v>2</v>
      </c>
      <c r="AU145" s="32"/>
      <c r="AV145" s="35"/>
      <c r="AW145" s="35"/>
      <c r="AX145" s="35"/>
      <c r="AY145" s="35"/>
      <c r="AZ145" s="35"/>
      <c r="BA145" s="35"/>
      <c r="BB145" s="35"/>
      <c r="BC145" s="35"/>
      <c r="BD145" s="35"/>
      <c r="BE145" s="86"/>
      <c r="BF145" s="35"/>
      <c r="BG145" s="45" t="str">
        <f>IF(AU144="", "", IF(AU144&gt;12, AS144+5, IF(AU144&lt;10, AS144-5, AS144)))</f>
        <v/>
      </c>
      <c r="BH145" s="32">
        <v>2</v>
      </c>
      <c r="BI145" s="32"/>
      <c r="BJ145" s="35"/>
      <c r="BK145" s="35"/>
      <c r="BL145" s="35"/>
      <c r="BM145" s="35"/>
      <c r="BN145" s="35"/>
      <c r="BO145" s="35"/>
      <c r="BP145" s="35"/>
      <c r="BQ145" s="35"/>
      <c r="BR145" s="35"/>
      <c r="BS145" s="86"/>
      <c r="BT145" s="35"/>
      <c r="BU145" s="45" t="str">
        <f>IF(BI144="", "", IF(BI144&gt;12, BG144+5, IF(BI144&lt;10, BG144-5, BG144)))</f>
        <v/>
      </c>
      <c r="BV145" s="32">
        <v>2</v>
      </c>
      <c r="BW145" s="32"/>
      <c r="BX145" s="35"/>
      <c r="BY145" s="35"/>
      <c r="BZ145" s="35"/>
      <c r="CA145" s="35"/>
      <c r="CB145" s="35"/>
      <c r="CC145" s="35"/>
      <c r="CD145" s="35"/>
      <c r="CE145" s="35"/>
      <c r="CF145" s="35"/>
      <c r="CG145" s="86"/>
      <c r="CH145" s="35"/>
      <c r="CI145" s="45" t="str">
        <f>IF(BW144="", "", IF(BW144&gt;12, BU144+5, IF(BW144&lt;10, BU144-5, BU144)))</f>
        <v/>
      </c>
      <c r="CJ145" s="32">
        <v>2</v>
      </c>
      <c r="CK145" s="32"/>
      <c r="CL145" s="35"/>
      <c r="CM145" s="35"/>
      <c r="CN145" s="35"/>
      <c r="CO145" s="35"/>
      <c r="CP145" s="35"/>
      <c r="CQ145" s="35"/>
      <c r="CR145" s="35"/>
      <c r="CS145" s="35"/>
      <c r="CT145" s="35"/>
      <c r="CU145" s="86"/>
      <c r="CV145" s="35"/>
      <c r="CW145" s="45" t="str">
        <f>IF(CK144="", "", IF(CK144&gt;12, CI144+5, IF(CK144&lt;10, CI144-5, CI144)))</f>
        <v/>
      </c>
      <c r="CX145" s="32">
        <v>2</v>
      </c>
      <c r="CY145" s="32"/>
      <c r="CZ145" s="35"/>
      <c r="DA145" s="35"/>
      <c r="DB145" s="35"/>
      <c r="DC145" s="35"/>
      <c r="DD145" s="35"/>
      <c r="DE145" s="35"/>
      <c r="DF145" s="35"/>
      <c r="DG145" s="35"/>
      <c r="DH145" s="35"/>
      <c r="DI145" s="86"/>
      <c r="DJ145" s="35"/>
      <c r="DK145" s="45" t="str">
        <f>IF(CY144="", "", IF(CY144&gt;12, CW144+5, IF(CY144&lt;10, CW144-5, CW144)))</f>
        <v/>
      </c>
      <c r="DL145" s="32">
        <v>2</v>
      </c>
      <c r="DM145" s="32"/>
      <c r="DN145" s="35"/>
      <c r="DO145" s="35"/>
      <c r="DP145" s="35"/>
      <c r="DQ145" s="35"/>
      <c r="DR145" s="35"/>
      <c r="DS145" s="35"/>
      <c r="DT145" s="35"/>
      <c r="DU145" s="35"/>
      <c r="DV145" s="35"/>
      <c r="DW145" s="86"/>
      <c r="DX145" s="35"/>
      <c r="DY145" s="45" t="str">
        <f>IF(DM144="", "", IF(DM144&gt;12, DK144+5, IF(DM144&lt;10, DK144-5, DK144)))</f>
        <v/>
      </c>
      <c r="DZ145" s="32">
        <v>2</v>
      </c>
      <c r="EA145" s="32"/>
      <c r="EB145" s="35"/>
      <c r="EC145" s="35"/>
      <c r="ED145" s="35"/>
      <c r="EE145" s="35"/>
      <c r="EF145" s="35"/>
      <c r="EG145" s="35"/>
      <c r="EH145" s="35"/>
      <c r="EI145" s="35"/>
      <c r="EJ145" s="35"/>
      <c r="EK145" s="86"/>
      <c r="EL145" s="35"/>
      <c r="EM145" s="45" t="str">
        <f>IF(EA144="", "", IF(EA144&gt;12, DY144+5, IF(EA144&lt;10, DY144-5, DY144)))</f>
        <v/>
      </c>
      <c r="EN145" s="32">
        <v>2</v>
      </c>
      <c r="EO145" s="32"/>
      <c r="EP145" s="35"/>
      <c r="EQ145" s="35"/>
      <c r="ER145" s="35"/>
      <c r="ES145" s="35"/>
      <c r="ET145" s="35"/>
      <c r="EU145" s="35"/>
      <c r="EV145" s="35"/>
      <c r="EW145" s="35"/>
      <c r="EX145" s="35"/>
      <c r="EY145" s="86"/>
      <c r="EZ145" s="35"/>
      <c r="FA145" s="45" t="str">
        <f>IF(EO144="", "", IF(EO144&gt;12, EM144+5, IF(EO144&lt;10, EM144-5, EM144)))</f>
        <v/>
      </c>
      <c r="FB145" s="32">
        <v>2</v>
      </c>
      <c r="FC145" s="32"/>
      <c r="FD145" s="35"/>
      <c r="FE145" s="35"/>
      <c r="FF145" s="35"/>
      <c r="FG145" s="35"/>
      <c r="FH145" s="35"/>
      <c r="FI145" s="35"/>
      <c r="FJ145" s="35"/>
      <c r="FK145" s="35"/>
      <c r="FL145" s="35"/>
      <c r="FM145" s="86"/>
    </row>
    <row r="146" spans="1:169" ht="15.75" customHeight="1">
      <c r="A146" s="86"/>
      <c r="C146" s="31"/>
      <c r="D146" s="32">
        <v>3</v>
      </c>
      <c r="E146" s="32"/>
      <c r="O146" s="86"/>
      <c r="Q146" s="45" t="str">
        <f>IF(E144="", "", IF(E144&gt;12, C144+5, IF(E144&lt;10, C144-5, C144)))</f>
        <v/>
      </c>
      <c r="R146" s="32">
        <v>3</v>
      </c>
      <c r="S146" s="32"/>
      <c r="AC146" s="86"/>
      <c r="AD146" s="35"/>
      <c r="AE146" s="45" t="str">
        <f>IF(S144="", "", IF(S144&gt;12, Q144+5, IF(S144&lt;10, Q144-5, Q144)))</f>
        <v/>
      </c>
      <c r="AF146" s="32">
        <v>3</v>
      </c>
      <c r="AG146" s="32"/>
      <c r="AH146" s="35"/>
      <c r="AI146" s="35"/>
      <c r="AJ146" s="35"/>
      <c r="AK146" s="35"/>
      <c r="AL146" s="35"/>
      <c r="AM146" s="35"/>
      <c r="AN146" s="35"/>
      <c r="AO146" s="35"/>
      <c r="AP146" s="35"/>
      <c r="AQ146" s="86"/>
      <c r="AR146" s="35"/>
      <c r="AS146" s="45" t="str">
        <f>IF(AG144="", "", IF(AG144&gt;12, AE144+5, IF(AG144&lt;10, AE144-5, AE144)))</f>
        <v/>
      </c>
      <c r="AT146" s="32">
        <v>3</v>
      </c>
      <c r="AU146" s="32"/>
      <c r="AV146" s="35"/>
      <c r="AW146" s="35"/>
      <c r="AX146" s="35"/>
      <c r="AY146" s="35"/>
      <c r="AZ146" s="35"/>
      <c r="BA146" s="35"/>
      <c r="BB146" s="35"/>
      <c r="BC146" s="35"/>
      <c r="BD146" s="35"/>
      <c r="BE146" s="86"/>
      <c r="BF146" s="35"/>
      <c r="BG146" s="45" t="str">
        <f>IF(AU144="", "", IF(AU144&gt;12, AS144+5, IF(AU144&lt;10, AS144-5, AS144)))</f>
        <v/>
      </c>
      <c r="BH146" s="32">
        <v>3</v>
      </c>
      <c r="BI146" s="32"/>
      <c r="BJ146" s="35"/>
      <c r="BK146" s="35"/>
      <c r="BL146" s="35"/>
      <c r="BM146" s="35"/>
      <c r="BN146" s="35"/>
      <c r="BO146" s="35"/>
      <c r="BP146" s="35"/>
      <c r="BQ146" s="35"/>
      <c r="BR146" s="35"/>
      <c r="BS146" s="86"/>
      <c r="BT146" s="35"/>
      <c r="BU146" s="45" t="str">
        <f>IF(BI144="", "", IF(BI144&gt;12, BG144+5, IF(BI144&lt;10, BG144-5, BG144)))</f>
        <v/>
      </c>
      <c r="BV146" s="32">
        <v>3</v>
      </c>
      <c r="BW146" s="32"/>
      <c r="BX146" s="35"/>
      <c r="BY146" s="35"/>
      <c r="BZ146" s="35"/>
      <c r="CA146" s="35"/>
      <c r="CB146" s="35"/>
      <c r="CC146" s="35"/>
      <c r="CD146" s="35"/>
      <c r="CE146" s="35"/>
      <c r="CF146" s="35"/>
      <c r="CG146" s="86"/>
      <c r="CH146" s="35"/>
      <c r="CI146" s="45" t="str">
        <f>IF(BW144="", "", IF(BW144&gt;12, BU144+5, IF(BW144&lt;10, BU144-5, BU144)))</f>
        <v/>
      </c>
      <c r="CJ146" s="32">
        <v>3</v>
      </c>
      <c r="CK146" s="32"/>
      <c r="CL146" s="35"/>
      <c r="CM146" s="35"/>
      <c r="CN146" s="35"/>
      <c r="CO146" s="35"/>
      <c r="CP146" s="35"/>
      <c r="CQ146" s="35"/>
      <c r="CR146" s="35"/>
      <c r="CS146" s="35"/>
      <c r="CT146" s="35"/>
      <c r="CU146" s="86"/>
      <c r="CV146" s="35"/>
      <c r="CW146" s="45" t="str">
        <f>IF(CK144="", "", IF(CK144&gt;12, CI144+5, IF(CK144&lt;10, CI144-5, CI144)))</f>
        <v/>
      </c>
      <c r="CX146" s="32">
        <v>3</v>
      </c>
      <c r="CY146" s="32"/>
      <c r="CZ146" s="35"/>
      <c r="DA146" s="35"/>
      <c r="DB146" s="35"/>
      <c r="DC146" s="35"/>
      <c r="DD146" s="35"/>
      <c r="DE146" s="35"/>
      <c r="DF146" s="35"/>
      <c r="DG146" s="35"/>
      <c r="DH146" s="35"/>
      <c r="DI146" s="86"/>
      <c r="DJ146" s="35"/>
      <c r="DK146" s="45" t="str">
        <f>IF(CY144="", "", IF(CY144&gt;12, CW144+5, IF(CY144&lt;10, CW144-5, CW144)))</f>
        <v/>
      </c>
      <c r="DL146" s="32">
        <v>3</v>
      </c>
      <c r="DM146" s="32"/>
      <c r="DN146" s="35"/>
      <c r="DO146" s="35"/>
      <c r="DP146" s="35"/>
      <c r="DQ146" s="35"/>
      <c r="DR146" s="35"/>
      <c r="DS146" s="35"/>
      <c r="DT146" s="35"/>
      <c r="DU146" s="35"/>
      <c r="DV146" s="35"/>
      <c r="DW146" s="86"/>
      <c r="DX146" s="35"/>
      <c r="DY146" s="45" t="str">
        <f>IF(DM144="", "", IF(DM144&gt;12, DK144+5, IF(DM144&lt;10, DK144-5, DK144)))</f>
        <v/>
      </c>
      <c r="DZ146" s="32">
        <v>3</v>
      </c>
      <c r="EA146" s="32"/>
      <c r="EB146" s="35"/>
      <c r="EC146" s="35"/>
      <c r="ED146" s="35"/>
      <c r="EE146" s="35"/>
      <c r="EF146" s="35"/>
      <c r="EG146" s="35"/>
      <c r="EH146" s="35"/>
      <c r="EI146" s="35"/>
      <c r="EJ146" s="35"/>
      <c r="EK146" s="86"/>
      <c r="EL146" s="35"/>
      <c r="EM146" s="45" t="str">
        <f>IF(EA144="", "", IF(EA144&gt;12, DY144+5, IF(EA144&lt;10, DY144-5, DY144)))</f>
        <v/>
      </c>
      <c r="EN146" s="32">
        <v>3</v>
      </c>
      <c r="EO146" s="32"/>
      <c r="EP146" s="35"/>
      <c r="EQ146" s="35"/>
      <c r="ER146" s="35"/>
      <c r="ES146" s="35"/>
      <c r="ET146" s="35"/>
      <c r="EU146" s="35"/>
      <c r="EV146" s="35"/>
      <c r="EW146" s="35"/>
      <c r="EX146" s="35"/>
      <c r="EY146" s="86"/>
      <c r="EZ146" s="35"/>
      <c r="FA146" s="45" t="str">
        <f>IF(EO144="", "", IF(EO144&gt;12, EM144+5, IF(EO144&lt;10, EM144-5, EM144)))</f>
        <v/>
      </c>
      <c r="FB146" s="32">
        <v>3</v>
      </c>
      <c r="FC146" s="32"/>
      <c r="FD146" s="35"/>
      <c r="FE146" s="35"/>
      <c r="FF146" s="35"/>
      <c r="FG146" s="35"/>
      <c r="FH146" s="35"/>
      <c r="FI146" s="35"/>
      <c r="FJ146" s="35"/>
      <c r="FK146" s="35"/>
      <c r="FL146" s="35"/>
      <c r="FM146" s="86"/>
    </row>
    <row r="147" spans="1:169" ht="15.75" customHeight="1">
      <c r="A147" s="86"/>
      <c r="O147" s="86"/>
      <c r="AC147" s="86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86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86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86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86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86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86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86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86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86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86"/>
    </row>
    <row r="148" spans="1:169" ht="15.75" customHeight="1">
      <c r="A148" s="86"/>
      <c r="O148" s="86"/>
      <c r="AC148" s="86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86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86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86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86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86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86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86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86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86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86"/>
    </row>
    <row r="149" spans="1:169" ht="15.75" customHeight="1">
      <c r="A149" s="86"/>
      <c r="O149" s="86"/>
      <c r="AC149" s="86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86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86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86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86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86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86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86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86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86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86"/>
    </row>
    <row r="150" spans="1:169" ht="15.75" customHeight="1">
      <c r="A150" s="86"/>
      <c r="O150" s="86"/>
      <c r="AC150" s="86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86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86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86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86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86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86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86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86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86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86"/>
    </row>
    <row r="151" spans="1:169" ht="15.75" customHeight="1">
      <c r="A151" s="19"/>
      <c r="B151" s="20"/>
      <c r="C151" s="21"/>
      <c r="D151" s="21"/>
      <c r="E151" s="19"/>
      <c r="F151" s="21"/>
      <c r="G151" s="22"/>
      <c r="H151" s="21"/>
      <c r="I151" s="21"/>
      <c r="J151" s="21"/>
      <c r="K151" s="21"/>
      <c r="L151" s="21"/>
      <c r="M151" s="21"/>
      <c r="N151" s="21"/>
      <c r="O151" s="21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</row>
    <row r="152" spans="1:169" ht="15.75" customHeight="1">
      <c r="A152" s="48"/>
      <c r="O152" s="48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</row>
    <row r="153" spans="1:169" ht="15.75" customHeight="1">
      <c r="A153" s="48"/>
      <c r="O153" s="48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</row>
    <row r="154" spans="1:169" ht="15.75" customHeight="1">
      <c r="A154" s="48"/>
      <c r="N154" s="28"/>
      <c r="O154" s="48"/>
      <c r="P154" s="28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</row>
    <row r="155" spans="1:169" ht="15.75" customHeight="1">
      <c r="A155" s="48"/>
      <c r="N155" s="28"/>
      <c r="O155" s="48"/>
      <c r="P155" s="28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</row>
    <row r="156" spans="1:169" ht="15.75" customHeight="1">
      <c r="A156" s="48"/>
      <c r="N156" s="28"/>
      <c r="O156" s="48"/>
      <c r="P156" s="28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</row>
    <row r="157" spans="1:169" ht="15.75" customHeight="1">
      <c r="A157" s="48"/>
      <c r="N157" s="28"/>
      <c r="O157" s="48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</row>
    <row r="158" spans="1:169" ht="15.75" customHeight="1">
      <c r="A158" s="48"/>
      <c r="N158" s="28"/>
      <c r="O158" s="48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5"/>
      <c r="EI158" s="35"/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5"/>
      <c r="EV158" s="35"/>
      <c r="EW158" s="35"/>
      <c r="EX158" s="35"/>
      <c r="EY158" s="35"/>
      <c r="EZ158" s="35"/>
      <c r="FA158" s="35"/>
      <c r="FB158" s="35"/>
      <c r="FC158" s="35"/>
      <c r="FD158" s="35"/>
      <c r="FE158" s="35"/>
      <c r="FF158" s="35"/>
      <c r="FG158" s="35"/>
      <c r="FH158" s="35"/>
      <c r="FI158" s="35"/>
      <c r="FJ158" s="35"/>
      <c r="FK158" s="35"/>
      <c r="FL158" s="35"/>
      <c r="FM158" s="35"/>
    </row>
    <row r="159" spans="1:169" ht="15.75" customHeight="1">
      <c r="A159" s="48"/>
      <c r="O159" s="48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35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  <c r="DL159" s="35"/>
      <c r="DM159" s="35"/>
      <c r="DN159" s="35"/>
      <c r="DO159" s="35"/>
      <c r="DP159" s="35"/>
      <c r="DQ159" s="35"/>
      <c r="DR159" s="35"/>
      <c r="DS159" s="35"/>
      <c r="DT159" s="35"/>
      <c r="DU159" s="35"/>
      <c r="DV159" s="35"/>
      <c r="DW159" s="35"/>
      <c r="DX159" s="35"/>
      <c r="DY159" s="35"/>
      <c r="DZ159" s="35"/>
      <c r="EA159" s="35"/>
      <c r="EB159" s="35"/>
      <c r="EC159" s="35"/>
      <c r="ED159" s="35"/>
      <c r="EE159" s="35"/>
      <c r="EF159" s="35"/>
      <c r="EG159" s="35"/>
      <c r="EH159" s="35"/>
      <c r="EI159" s="35"/>
      <c r="EJ159" s="35"/>
      <c r="EK159" s="35"/>
      <c r="EL159" s="35"/>
      <c r="EM159" s="35"/>
      <c r="EN159" s="35"/>
      <c r="EO159" s="35"/>
      <c r="EP159" s="35"/>
      <c r="EQ159" s="35"/>
      <c r="ER159" s="35"/>
      <c r="ES159" s="35"/>
      <c r="ET159" s="35"/>
      <c r="EU159" s="35"/>
      <c r="EV159" s="35"/>
      <c r="EW159" s="35"/>
      <c r="EX159" s="35"/>
      <c r="EY159" s="35"/>
      <c r="EZ159" s="35"/>
      <c r="FA159" s="35"/>
      <c r="FB159" s="35"/>
      <c r="FC159" s="35"/>
      <c r="FD159" s="35"/>
      <c r="FE159" s="35"/>
      <c r="FF159" s="35"/>
      <c r="FG159" s="35"/>
      <c r="FH159" s="35"/>
      <c r="FI159" s="35"/>
      <c r="FJ159" s="35"/>
      <c r="FK159" s="35"/>
      <c r="FL159" s="35"/>
      <c r="FM159" s="35"/>
    </row>
    <row r="160" spans="1:169" ht="15.75" customHeight="1">
      <c r="A160" s="48"/>
      <c r="O160" s="48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35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  <c r="DL160" s="35"/>
      <c r="DM160" s="35"/>
      <c r="DN160" s="35"/>
      <c r="DO160" s="35"/>
      <c r="DP160" s="35"/>
      <c r="DQ160" s="35"/>
      <c r="DR160" s="35"/>
      <c r="DS160" s="35"/>
      <c r="DT160" s="35"/>
      <c r="DU160" s="35"/>
      <c r="DV160" s="35"/>
      <c r="DW160" s="35"/>
      <c r="DX160" s="35"/>
      <c r="DY160" s="35"/>
      <c r="DZ160" s="35"/>
      <c r="EA160" s="35"/>
      <c r="EB160" s="35"/>
      <c r="EC160" s="35"/>
      <c r="ED160" s="35"/>
      <c r="EE160" s="35"/>
      <c r="EF160" s="35"/>
      <c r="EG160" s="35"/>
      <c r="EH160" s="35"/>
      <c r="EI160" s="35"/>
      <c r="EJ160" s="35"/>
      <c r="EK160" s="35"/>
      <c r="EL160" s="35"/>
      <c r="EM160" s="35"/>
      <c r="EN160" s="35"/>
      <c r="EO160" s="35"/>
      <c r="EP160" s="35"/>
      <c r="EQ160" s="35"/>
      <c r="ER160" s="35"/>
      <c r="ES160" s="35"/>
      <c r="ET160" s="35"/>
      <c r="EU160" s="35"/>
      <c r="EV160" s="35"/>
      <c r="EW160" s="35"/>
      <c r="EX160" s="35"/>
      <c r="EY160" s="35"/>
      <c r="EZ160" s="35"/>
      <c r="FA160" s="35"/>
      <c r="FB160" s="35"/>
      <c r="FC160" s="35"/>
      <c r="FD160" s="35"/>
      <c r="FE160" s="35"/>
      <c r="FF160" s="35"/>
      <c r="FG160" s="35"/>
      <c r="FH160" s="35"/>
      <c r="FI160" s="35"/>
      <c r="FJ160" s="35"/>
      <c r="FK160" s="35"/>
      <c r="FL160" s="35"/>
      <c r="FM160" s="35"/>
    </row>
    <row r="161" spans="1:169" ht="15.75" customHeight="1">
      <c r="A161" s="48"/>
      <c r="O161" s="48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  <c r="DL161" s="35"/>
      <c r="DM161" s="35"/>
      <c r="DN161" s="35"/>
      <c r="DO161" s="35"/>
      <c r="DP161" s="35"/>
      <c r="DQ161" s="35"/>
      <c r="DR161" s="35"/>
      <c r="DS161" s="35"/>
      <c r="DT161" s="35"/>
      <c r="DU161" s="35"/>
      <c r="DV161" s="35"/>
      <c r="DW161" s="35"/>
      <c r="DX161" s="35"/>
      <c r="DY161" s="35"/>
      <c r="DZ161" s="35"/>
      <c r="EA161" s="35"/>
      <c r="EB161" s="35"/>
      <c r="EC161" s="35"/>
      <c r="ED161" s="35"/>
      <c r="EE161" s="35"/>
      <c r="EF161" s="35"/>
      <c r="EG161" s="35"/>
      <c r="EH161" s="35"/>
      <c r="EI161" s="35"/>
      <c r="EJ161" s="35"/>
      <c r="EK161" s="35"/>
      <c r="EL161" s="35"/>
      <c r="EM161" s="35"/>
      <c r="EN161" s="35"/>
      <c r="EO161" s="35"/>
      <c r="EP161" s="35"/>
      <c r="EQ161" s="35"/>
      <c r="ER161" s="35"/>
      <c r="ES161" s="35"/>
      <c r="ET161" s="35"/>
      <c r="EU161" s="35"/>
      <c r="EV161" s="35"/>
      <c r="EW161" s="35"/>
      <c r="EX161" s="35"/>
      <c r="EY161" s="35"/>
      <c r="EZ161" s="35"/>
      <c r="FA161" s="35"/>
      <c r="FB161" s="35"/>
      <c r="FC161" s="35"/>
      <c r="FD161" s="35"/>
      <c r="FE161" s="35"/>
      <c r="FF161" s="35"/>
      <c r="FG161" s="35"/>
      <c r="FH161" s="35"/>
      <c r="FI161" s="35"/>
      <c r="FJ161" s="35"/>
      <c r="FK161" s="35"/>
      <c r="FL161" s="35"/>
      <c r="FM161" s="35"/>
    </row>
    <row r="162" spans="1:169" ht="15.75" customHeight="1">
      <c r="A162" s="48"/>
      <c r="O162" s="48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35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  <c r="DL162" s="35"/>
      <c r="DM162" s="35"/>
      <c r="DN162" s="35"/>
      <c r="DO162" s="35"/>
      <c r="DP162" s="35"/>
      <c r="DQ162" s="35"/>
      <c r="DR162" s="35"/>
      <c r="DS162" s="35"/>
      <c r="DT162" s="35"/>
      <c r="DU162" s="35"/>
      <c r="DV162" s="35"/>
      <c r="DW162" s="35"/>
      <c r="DX162" s="35"/>
      <c r="DY162" s="35"/>
      <c r="DZ162" s="35"/>
      <c r="EA162" s="35"/>
      <c r="EB162" s="35"/>
      <c r="EC162" s="35"/>
      <c r="ED162" s="35"/>
      <c r="EE162" s="35"/>
      <c r="EF162" s="35"/>
      <c r="EG162" s="35"/>
      <c r="EH162" s="35"/>
      <c r="EI162" s="35"/>
      <c r="EJ162" s="35"/>
      <c r="EK162" s="35"/>
      <c r="EL162" s="35"/>
      <c r="EM162" s="35"/>
      <c r="EN162" s="35"/>
      <c r="EO162" s="35"/>
      <c r="EP162" s="35"/>
      <c r="EQ162" s="35"/>
      <c r="ER162" s="35"/>
      <c r="ES162" s="35"/>
      <c r="ET162" s="35"/>
      <c r="EU162" s="35"/>
      <c r="EV162" s="35"/>
      <c r="EW162" s="35"/>
      <c r="EX162" s="35"/>
      <c r="EY162" s="35"/>
      <c r="EZ162" s="35"/>
      <c r="FA162" s="35"/>
      <c r="FB162" s="35"/>
      <c r="FC162" s="35"/>
      <c r="FD162" s="35"/>
      <c r="FE162" s="35"/>
      <c r="FF162" s="35"/>
      <c r="FG162" s="35"/>
      <c r="FH162" s="35"/>
      <c r="FI162" s="35"/>
      <c r="FJ162" s="35"/>
      <c r="FK162" s="35"/>
      <c r="FL162" s="35"/>
      <c r="FM162" s="35"/>
    </row>
    <row r="163" spans="1:169" ht="15.75" customHeight="1">
      <c r="A163" s="48"/>
      <c r="O163" s="48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35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  <c r="DL163" s="35"/>
      <c r="DM163" s="35"/>
      <c r="DN163" s="35"/>
      <c r="DO163" s="35"/>
      <c r="DP163" s="35"/>
      <c r="DQ163" s="35"/>
      <c r="DR163" s="35"/>
      <c r="DS163" s="35"/>
      <c r="DT163" s="35"/>
      <c r="DU163" s="35"/>
      <c r="DV163" s="35"/>
      <c r="DW163" s="35"/>
      <c r="DX163" s="35"/>
      <c r="DY163" s="35"/>
      <c r="DZ163" s="35"/>
      <c r="EA163" s="35"/>
      <c r="EB163" s="35"/>
      <c r="EC163" s="35"/>
      <c r="ED163" s="35"/>
      <c r="EE163" s="35"/>
      <c r="EF163" s="35"/>
      <c r="EG163" s="35"/>
      <c r="EH163" s="35"/>
      <c r="EI163" s="35"/>
      <c r="EJ163" s="35"/>
      <c r="EK163" s="35"/>
      <c r="EL163" s="35"/>
      <c r="EM163" s="35"/>
      <c r="EN163" s="35"/>
      <c r="EO163" s="35"/>
      <c r="EP163" s="35"/>
      <c r="EQ163" s="35"/>
      <c r="ER163" s="35"/>
      <c r="ES163" s="35"/>
      <c r="ET163" s="35"/>
      <c r="EU163" s="35"/>
      <c r="EV163" s="35"/>
      <c r="EW163" s="35"/>
      <c r="EX163" s="35"/>
      <c r="EY163" s="35"/>
      <c r="EZ163" s="35"/>
      <c r="FA163" s="35"/>
      <c r="FB163" s="35"/>
      <c r="FC163" s="35"/>
      <c r="FD163" s="35"/>
      <c r="FE163" s="35"/>
      <c r="FF163" s="35"/>
      <c r="FG163" s="35"/>
      <c r="FH163" s="35"/>
      <c r="FI163" s="35"/>
      <c r="FJ163" s="35"/>
      <c r="FK163" s="35"/>
      <c r="FL163" s="35"/>
      <c r="FM163" s="35"/>
    </row>
    <row r="164" spans="1:169" ht="15.75" customHeight="1">
      <c r="A164" s="48"/>
      <c r="O164" s="48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35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  <c r="DL164" s="35"/>
      <c r="DM164" s="35"/>
      <c r="DN164" s="35"/>
      <c r="DO164" s="35"/>
      <c r="DP164" s="35"/>
      <c r="DQ164" s="35"/>
      <c r="DR164" s="35"/>
      <c r="DS164" s="35"/>
      <c r="DT164" s="35"/>
      <c r="DU164" s="35"/>
      <c r="DV164" s="35"/>
      <c r="DW164" s="35"/>
      <c r="DX164" s="35"/>
      <c r="DY164" s="35"/>
      <c r="DZ164" s="35"/>
      <c r="EA164" s="35"/>
      <c r="EB164" s="35"/>
      <c r="EC164" s="35"/>
      <c r="ED164" s="35"/>
      <c r="EE164" s="35"/>
      <c r="EF164" s="35"/>
      <c r="EG164" s="35"/>
      <c r="EH164" s="35"/>
      <c r="EI164" s="35"/>
      <c r="EJ164" s="35"/>
      <c r="EK164" s="35"/>
      <c r="EL164" s="35"/>
      <c r="EM164" s="35"/>
      <c r="EN164" s="35"/>
      <c r="EO164" s="35"/>
      <c r="EP164" s="35"/>
      <c r="EQ164" s="35"/>
      <c r="ER164" s="35"/>
      <c r="ES164" s="35"/>
      <c r="ET164" s="35"/>
      <c r="EU164" s="35"/>
      <c r="EV164" s="35"/>
      <c r="EW164" s="35"/>
      <c r="EX164" s="35"/>
      <c r="EY164" s="35"/>
      <c r="EZ164" s="35"/>
      <c r="FA164" s="35"/>
      <c r="FB164" s="35"/>
      <c r="FC164" s="35"/>
      <c r="FD164" s="35"/>
      <c r="FE164" s="35"/>
      <c r="FF164" s="35"/>
      <c r="FG164" s="35"/>
      <c r="FH164" s="35"/>
      <c r="FI164" s="35"/>
      <c r="FJ164" s="35"/>
      <c r="FK164" s="35"/>
      <c r="FL164" s="35"/>
      <c r="FM164" s="35"/>
    </row>
    <row r="165" spans="1:169" ht="15.75" customHeight="1">
      <c r="A165" s="35"/>
      <c r="B165" s="35"/>
      <c r="C165" s="35"/>
      <c r="D165" s="35"/>
      <c r="E165" s="35"/>
      <c r="F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35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  <c r="DL165" s="35"/>
      <c r="DM165" s="35"/>
      <c r="DN165" s="35"/>
      <c r="DO165" s="35"/>
      <c r="DP165" s="35"/>
      <c r="DQ165" s="35"/>
      <c r="DR165" s="35"/>
      <c r="DS165" s="35"/>
      <c r="DT165" s="35"/>
      <c r="DU165" s="35"/>
      <c r="DV165" s="35"/>
      <c r="DW165" s="35"/>
      <c r="DX165" s="35"/>
      <c r="DY165" s="35"/>
      <c r="DZ165" s="35"/>
      <c r="EA165" s="35"/>
      <c r="EB165" s="35"/>
      <c r="EC165" s="35"/>
      <c r="ED165" s="35"/>
      <c r="EE165" s="35"/>
      <c r="EF165" s="35"/>
      <c r="EG165" s="35"/>
      <c r="EH165" s="35"/>
      <c r="EI165" s="35"/>
      <c r="EJ165" s="35"/>
      <c r="EK165" s="35"/>
      <c r="EL165" s="35"/>
      <c r="EM165" s="35"/>
      <c r="EN165" s="35"/>
      <c r="EO165" s="35"/>
      <c r="EP165" s="35"/>
      <c r="EQ165" s="35"/>
      <c r="ER165" s="35"/>
      <c r="ES165" s="35"/>
      <c r="ET165" s="35"/>
      <c r="EU165" s="35"/>
      <c r="EV165" s="35"/>
      <c r="EW165" s="35"/>
      <c r="EX165" s="35"/>
      <c r="EY165" s="35"/>
      <c r="EZ165" s="35"/>
      <c r="FA165" s="35"/>
      <c r="FB165" s="35"/>
      <c r="FC165" s="35"/>
      <c r="FD165" s="35"/>
      <c r="FE165" s="35"/>
      <c r="FF165" s="35"/>
      <c r="FG165" s="35"/>
      <c r="FH165" s="35"/>
      <c r="FI165" s="35"/>
      <c r="FJ165" s="35"/>
      <c r="FK165" s="35"/>
      <c r="FL165" s="35"/>
      <c r="FM165" s="35"/>
    </row>
    <row r="166" spans="1:169" ht="15.75" customHeight="1">
      <c r="A166" s="35"/>
      <c r="B166" s="35"/>
      <c r="C166" s="35"/>
      <c r="D166" s="35"/>
      <c r="E166" s="35"/>
      <c r="F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35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  <c r="DL166" s="35"/>
      <c r="DM166" s="35"/>
      <c r="DN166" s="35"/>
      <c r="DO166" s="35"/>
      <c r="DP166" s="35"/>
      <c r="DQ166" s="35"/>
      <c r="DR166" s="35"/>
      <c r="DS166" s="35"/>
      <c r="DT166" s="35"/>
      <c r="DU166" s="35"/>
      <c r="DV166" s="35"/>
      <c r="DW166" s="35"/>
      <c r="DX166" s="35"/>
      <c r="DY166" s="35"/>
      <c r="DZ166" s="35"/>
      <c r="EA166" s="35"/>
      <c r="EB166" s="35"/>
      <c r="EC166" s="35"/>
      <c r="ED166" s="35"/>
      <c r="EE166" s="35"/>
      <c r="EF166" s="35"/>
      <c r="EG166" s="35"/>
      <c r="EH166" s="35"/>
      <c r="EI166" s="35"/>
      <c r="EJ166" s="35"/>
      <c r="EK166" s="35"/>
      <c r="EL166" s="35"/>
      <c r="EM166" s="35"/>
      <c r="EN166" s="35"/>
      <c r="EO166" s="35"/>
      <c r="EP166" s="35"/>
      <c r="EQ166" s="35"/>
      <c r="ER166" s="35"/>
      <c r="ES166" s="35"/>
      <c r="ET166" s="35"/>
      <c r="EU166" s="35"/>
      <c r="EV166" s="35"/>
      <c r="EW166" s="35"/>
      <c r="EX166" s="35"/>
      <c r="EY166" s="35"/>
      <c r="EZ166" s="35"/>
      <c r="FA166" s="35"/>
      <c r="FB166" s="35"/>
      <c r="FC166" s="35"/>
      <c r="FD166" s="35"/>
      <c r="FE166" s="35"/>
      <c r="FF166" s="35"/>
      <c r="FG166" s="35"/>
      <c r="FH166" s="35"/>
      <c r="FI166" s="35"/>
      <c r="FJ166" s="35"/>
      <c r="FK166" s="35"/>
      <c r="FL166" s="35"/>
      <c r="FM166" s="35"/>
    </row>
    <row r="167" spans="1:169" ht="15.75" customHeight="1">
      <c r="A167" s="35"/>
      <c r="B167" s="35"/>
      <c r="C167" s="35"/>
      <c r="D167" s="35"/>
      <c r="E167" s="35"/>
      <c r="F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  <c r="DL167" s="35"/>
      <c r="DM167" s="35"/>
      <c r="DN167" s="35"/>
      <c r="DO167" s="35"/>
      <c r="DP167" s="35"/>
      <c r="DQ167" s="35"/>
      <c r="DR167" s="35"/>
      <c r="DS167" s="35"/>
      <c r="DT167" s="35"/>
      <c r="DU167" s="35"/>
      <c r="DV167" s="35"/>
      <c r="DW167" s="35"/>
      <c r="DX167" s="35"/>
      <c r="DY167" s="35"/>
      <c r="DZ167" s="35"/>
      <c r="EA167" s="35"/>
      <c r="EB167" s="35"/>
      <c r="EC167" s="35"/>
      <c r="ED167" s="35"/>
      <c r="EE167" s="35"/>
      <c r="EF167" s="35"/>
      <c r="EG167" s="35"/>
      <c r="EH167" s="35"/>
      <c r="EI167" s="35"/>
      <c r="EJ167" s="35"/>
      <c r="EK167" s="35"/>
      <c r="EL167" s="35"/>
      <c r="EM167" s="35"/>
      <c r="EN167" s="35"/>
      <c r="EO167" s="35"/>
      <c r="EP167" s="35"/>
      <c r="EQ167" s="35"/>
      <c r="ER167" s="35"/>
      <c r="ES167" s="35"/>
      <c r="ET167" s="35"/>
      <c r="EU167" s="35"/>
      <c r="EV167" s="35"/>
      <c r="EW167" s="35"/>
      <c r="EX167" s="35"/>
      <c r="EY167" s="35"/>
      <c r="EZ167" s="35"/>
      <c r="FA167" s="35"/>
      <c r="FB167" s="35"/>
      <c r="FC167" s="35"/>
      <c r="FD167" s="35"/>
      <c r="FE167" s="35"/>
      <c r="FF167" s="35"/>
      <c r="FG167" s="35"/>
      <c r="FH167" s="35"/>
      <c r="FI167" s="35"/>
      <c r="FJ167" s="35"/>
      <c r="FK167" s="35"/>
      <c r="FL167" s="35"/>
      <c r="FM167" s="35"/>
    </row>
    <row r="168" spans="1:169" ht="15.75" customHeight="1">
      <c r="A168" s="35"/>
      <c r="B168" s="35"/>
      <c r="C168" s="35"/>
      <c r="D168" s="35"/>
      <c r="E168" s="35"/>
      <c r="F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35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  <c r="DL168" s="35"/>
      <c r="DM168" s="35"/>
      <c r="DN168" s="35"/>
      <c r="DO168" s="35"/>
      <c r="DP168" s="35"/>
      <c r="DQ168" s="35"/>
      <c r="DR168" s="35"/>
      <c r="DS168" s="35"/>
      <c r="DT168" s="35"/>
      <c r="DU168" s="35"/>
      <c r="DV168" s="35"/>
      <c r="DW168" s="35"/>
      <c r="DX168" s="35"/>
      <c r="DY168" s="35"/>
      <c r="DZ168" s="35"/>
      <c r="EA168" s="35"/>
      <c r="EB168" s="35"/>
      <c r="EC168" s="35"/>
      <c r="ED168" s="35"/>
      <c r="EE168" s="35"/>
      <c r="EF168" s="35"/>
      <c r="EG168" s="35"/>
      <c r="EH168" s="35"/>
      <c r="EI168" s="35"/>
      <c r="EJ168" s="35"/>
      <c r="EK168" s="35"/>
      <c r="EL168" s="35"/>
      <c r="EM168" s="35"/>
      <c r="EN168" s="35"/>
      <c r="EO168" s="35"/>
      <c r="EP168" s="35"/>
      <c r="EQ168" s="35"/>
      <c r="ER168" s="35"/>
      <c r="ES168" s="35"/>
      <c r="ET168" s="35"/>
      <c r="EU168" s="35"/>
      <c r="EV168" s="35"/>
      <c r="EW168" s="35"/>
      <c r="EX168" s="35"/>
      <c r="EY168" s="35"/>
      <c r="EZ168" s="35"/>
      <c r="FA168" s="35"/>
      <c r="FB168" s="35"/>
      <c r="FC168" s="35"/>
      <c r="FD168" s="35"/>
      <c r="FE168" s="35"/>
      <c r="FF168" s="35"/>
      <c r="FG168" s="35"/>
      <c r="FH168" s="35"/>
      <c r="FI168" s="35"/>
      <c r="FJ168" s="35"/>
      <c r="FK168" s="35"/>
      <c r="FL168" s="35"/>
      <c r="FM168" s="35"/>
    </row>
    <row r="169" spans="1:169" ht="15.75" customHeight="1"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  <c r="DL169" s="35"/>
      <c r="DM169" s="35"/>
      <c r="DN169" s="35"/>
      <c r="DO169" s="35"/>
      <c r="DP169" s="35"/>
      <c r="DQ169" s="35"/>
      <c r="DR169" s="35"/>
      <c r="DS169" s="35"/>
      <c r="DT169" s="35"/>
      <c r="DU169" s="35"/>
      <c r="DV169" s="35"/>
      <c r="DW169" s="35"/>
      <c r="DX169" s="35"/>
      <c r="DY169" s="35"/>
      <c r="DZ169" s="35"/>
      <c r="EA169" s="35"/>
      <c r="EB169" s="35"/>
      <c r="EC169" s="35"/>
      <c r="ED169" s="35"/>
      <c r="EE169" s="35"/>
      <c r="EF169" s="35"/>
      <c r="EG169" s="35"/>
      <c r="EH169" s="35"/>
      <c r="EI169" s="35"/>
      <c r="EJ169" s="35"/>
      <c r="EK169" s="35"/>
      <c r="EL169" s="35"/>
      <c r="EM169" s="35"/>
      <c r="EN169" s="35"/>
      <c r="EO169" s="35"/>
      <c r="EP169" s="35"/>
      <c r="EQ169" s="35"/>
      <c r="ER169" s="35"/>
      <c r="ES169" s="35"/>
      <c r="ET169" s="35"/>
      <c r="EU169" s="35"/>
      <c r="EV169" s="35"/>
      <c r="EW169" s="35"/>
      <c r="EX169" s="35"/>
      <c r="EY169" s="35"/>
      <c r="EZ169" s="35"/>
      <c r="FA169" s="35"/>
      <c r="FB169" s="35"/>
      <c r="FC169" s="35"/>
      <c r="FD169" s="35"/>
      <c r="FE169" s="35"/>
      <c r="FF169" s="35"/>
      <c r="FG169" s="35"/>
      <c r="FH169" s="35"/>
      <c r="FI169" s="35"/>
      <c r="FJ169" s="35"/>
      <c r="FK169" s="35"/>
      <c r="FL169" s="35"/>
      <c r="FM169" s="35"/>
    </row>
    <row r="170" spans="1:169" ht="15.75" customHeight="1">
      <c r="DC170" s="35"/>
      <c r="DD170" s="35"/>
    </row>
    <row r="171" spans="1:169" ht="15.75" customHeight="1">
      <c r="G171" s="35"/>
      <c r="H171" s="35"/>
      <c r="I171" s="35"/>
      <c r="DC171" s="35"/>
      <c r="DD171" s="35"/>
    </row>
    <row r="172" spans="1:169" ht="15.75" customHeight="1">
      <c r="G172" s="35"/>
      <c r="H172" s="35"/>
      <c r="I172" s="35"/>
      <c r="DC172" s="35"/>
      <c r="DD172" s="35"/>
    </row>
    <row r="173" spans="1:169" ht="15.75" customHeight="1">
      <c r="G173" s="35"/>
      <c r="H173" s="35"/>
      <c r="I173" s="35"/>
      <c r="DC173" s="35"/>
      <c r="DD173" s="35"/>
    </row>
    <row r="174" spans="1:169" ht="15.75" customHeight="1">
      <c r="G174" s="35"/>
      <c r="H174" s="35"/>
      <c r="I174" s="35"/>
      <c r="DC174" s="35"/>
      <c r="DD174" s="35"/>
    </row>
    <row r="175" spans="1:169" ht="15.75" customHeight="1">
      <c r="DC175" s="35"/>
      <c r="DD175" s="35"/>
    </row>
    <row r="176" spans="1:169" ht="15.75" customHeight="1">
      <c r="N176" s="27"/>
      <c r="O176" s="27"/>
      <c r="DC176" s="35"/>
      <c r="DD176" s="35"/>
    </row>
    <row r="177" spans="7:108" ht="15.75" customHeight="1">
      <c r="DC177" s="35"/>
      <c r="DD177" s="35"/>
    </row>
    <row r="178" spans="7:108" ht="15.75" customHeight="1">
      <c r="DC178" s="35"/>
      <c r="DD178" s="35"/>
    </row>
    <row r="179" spans="7:108" ht="15.75" customHeight="1">
      <c r="DC179" s="35"/>
      <c r="DD179" s="35"/>
    </row>
    <row r="180" spans="7:108" ht="15.75" customHeight="1">
      <c r="DC180" s="35"/>
      <c r="DD180" s="35"/>
    </row>
    <row r="181" spans="7:108" ht="15.75" customHeight="1">
      <c r="DC181" s="35"/>
      <c r="DD181" s="35"/>
    </row>
    <row r="182" spans="7:108" ht="15.75" customHeight="1">
      <c r="DC182" s="35"/>
      <c r="DD182" s="35"/>
    </row>
    <row r="183" spans="7:108" ht="15.75" customHeight="1">
      <c r="G183" s="27"/>
      <c r="H183" s="29"/>
      <c r="I183" s="27"/>
      <c r="DC183" s="35"/>
      <c r="DD183" s="35"/>
    </row>
    <row r="184" spans="7:108" ht="15.75" customHeight="1">
      <c r="DC184" s="35"/>
      <c r="DD184" s="35"/>
    </row>
    <row r="185" spans="7:108" ht="15.75" customHeight="1">
      <c r="DC185" s="35"/>
      <c r="DD185" s="35"/>
    </row>
    <row r="186" spans="7:108" ht="15.75" customHeight="1">
      <c r="DC186" s="35"/>
      <c r="DD186" s="35"/>
    </row>
    <row r="187" spans="7:108" ht="15.75" customHeight="1">
      <c r="DC187" s="35"/>
      <c r="DD187" s="35"/>
    </row>
    <row r="188" spans="7:108" ht="15.75" customHeight="1">
      <c r="DC188" s="35"/>
      <c r="DD188" s="35"/>
    </row>
    <row r="189" spans="7:108" ht="15.75" customHeight="1">
      <c r="DC189" s="35"/>
      <c r="DD189" s="35"/>
    </row>
    <row r="190" spans="7:108" ht="15.75" customHeight="1">
      <c r="DC190" s="35"/>
      <c r="DD190" s="35"/>
    </row>
    <row r="191" spans="7:108" ht="15.75" customHeight="1">
      <c r="DC191" s="35"/>
      <c r="DD191" s="35"/>
    </row>
    <row r="192" spans="7:108" ht="15.75" customHeight="1">
      <c r="DC192" s="35"/>
      <c r="DD192" s="35"/>
    </row>
    <row r="193" spans="107:108" ht="15.75" customHeight="1">
      <c r="DC193" s="35"/>
      <c r="DD193" s="35"/>
    </row>
    <row r="194" spans="107:108" ht="15.75" customHeight="1">
      <c r="DC194" s="35"/>
      <c r="DD194" s="35"/>
    </row>
    <row r="195" spans="107:108" ht="15.75" customHeight="1">
      <c r="DC195" s="35"/>
      <c r="DD195" s="35"/>
    </row>
    <row r="196" spans="107:108" ht="15.75" customHeight="1">
      <c r="DC196" s="35"/>
      <c r="DD196" s="35"/>
    </row>
    <row r="197" spans="107:108" ht="15.75" customHeight="1">
      <c r="DD197" s="35"/>
    </row>
    <row r="198" spans="107:108" ht="15.75" customHeight="1">
      <c r="DD198" s="35"/>
    </row>
    <row r="199" spans="107:108" ht="15.75" customHeight="1">
      <c r="DD199" s="35"/>
    </row>
    <row r="200" spans="107:108" ht="15.75" customHeight="1">
      <c r="DD200" s="35"/>
    </row>
    <row r="201" spans="107:108" ht="15.75" customHeight="1">
      <c r="DD201" s="35"/>
    </row>
    <row r="202" spans="107:108" ht="15.75" customHeight="1">
      <c r="DD202" s="35"/>
    </row>
    <row r="203" spans="107:108" ht="15.75" customHeight="1">
      <c r="DD203" s="35"/>
    </row>
    <row r="204" spans="107:108" ht="15.75" customHeight="1">
      <c r="DD204" s="35"/>
    </row>
    <row r="205" spans="107:108" ht="15.75" customHeight="1">
      <c r="DD205" s="35"/>
    </row>
    <row r="206" spans="107:108" ht="15.75" customHeight="1">
      <c r="DD206" s="35"/>
    </row>
    <row r="207" spans="107:108" ht="15.75" customHeight="1">
      <c r="DD207" s="35"/>
    </row>
    <row r="208" spans="107:108" ht="15.75" customHeight="1">
      <c r="DD208" s="35"/>
    </row>
    <row r="209" spans="108:108" ht="15.75" customHeight="1">
      <c r="DD209" s="35"/>
    </row>
    <row r="210" spans="108:108" ht="15.75" customHeight="1">
      <c r="DD210" s="35"/>
    </row>
    <row r="211" spans="108:108" ht="15.75" customHeight="1">
      <c r="DD211" s="35"/>
    </row>
    <row r="212" spans="108:108" ht="15.75" customHeight="1">
      <c r="DD212" s="35"/>
    </row>
    <row r="213" spans="108:108" ht="15.75" customHeight="1">
      <c r="DD213" s="35"/>
    </row>
    <row r="214" spans="108:108" ht="15.75" customHeight="1">
      <c r="DD214" s="35"/>
    </row>
    <row r="215" spans="108:108" ht="15.75" customHeight="1">
      <c r="DD215" s="35"/>
    </row>
    <row r="216" spans="108:108" ht="15.75" customHeight="1">
      <c r="DD216" s="35"/>
    </row>
    <row r="217" spans="108:108" ht="15.75" customHeight="1">
      <c r="DD217" s="35"/>
    </row>
    <row r="218" spans="108:108" ht="15.75" customHeight="1">
      <c r="DD218" s="35"/>
    </row>
    <row r="219" spans="108:108" ht="15.75" customHeight="1">
      <c r="DD219" s="35"/>
    </row>
    <row r="220" spans="108:108" ht="15.75" customHeight="1">
      <c r="DD220" s="35"/>
    </row>
    <row r="221" spans="108:108" ht="15.75" customHeight="1">
      <c r="DD221" s="35"/>
    </row>
    <row r="222" spans="108:108" ht="15.75" customHeight="1">
      <c r="DD222" s="35"/>
    </row>
    <row r="223" spans="108:108" ht="15.75" customHeight="1">
      <c r="DD223" s="35"/>
    </row>
    <row r="224" spans="108:108" ht="15.75" customHeight="1">
      <c r="DD224" s="35"/>
    </row>
    <row r="225" spans="108:108" ht="15.75" customHeight="1">
      <c r="DD225" s="35"/>
    </row>
    <row r="226" spans="108:108" ht="15.75" customHeight="1">
      <c r="DD226" s="35"/>
    </row>
    <row r="227" spans="108:108" ht="15.75" customHeight="1">
      <c r="DD227" s="35"/>
    </row>
    <row r="228" spans="108:108" ht="15.75" customHeight="1">
      <c r="DD228" s="35"/>
    </row>
    <row r="229" spans="108:108" ht="15.75" customHeight="1">
      <c r="DD229" s="35"/>
    </row>
    <row r="230" spans="108:108" ht="15.75" customHeight="1">
      <c r="DD230" s="35"/>
    </row>
    <row r="231" spans="108:108" ht="15.75" customHeight="1">
      <c r="DD231" s="35"/>
    </row>
    <row r="232" spans="108:108" ht="15.75" customHeight="1">
      <c r="DD232" s="35"/>
    </row>
    <row r="233" spans="108:108" ht="15.75" customHeight="1">
      <c r="DD233" s="35"/>
    </row>
    <row r="234" spans="108:108" ht="15.75" customHeight="1">
      <c r="DD234" s="35"/>
    </row>
    <row r="235" spans="108:108" ht="15.75" customHeight="1">
      <c r="DD235" s="35"/>
    </row>
    <row r="236" spans="108:108" ht="15.75" customHeight="1">
      <c r="DD236" s="35"/>
    </row>
    <row r="237" spans="108:108" ht="15.75" customHeight="1">
      <c r="DD237" s="35"/>
    </row>
    <row r="238" spans="108:108" ht="15.75" customHeight="1">
      <c r="DD238" s="35"/>
    </row>
    <row r="239" spans="108:108" ht="15.75" customHeight="1">
      <c r="DD239" s="35"/>
    </row>
    <row r="240" spans="108:108" ht="15.75" customHeight="1">
      <c r="DD240" s="35"/>
    </row>
    <row r="241" spans="108:108" ht="15.75" customHeight="1">
      <c r="DD241" s="35"/>
    </row>
    <row r="242" spans="108:108" ht="15.75" customHeight="1">
      <c r="DD242" s="35"/>
    </row>
    <row r="243" spans="108:108" ht="15.75" customHeight="1">
      <c r="DD243" s="35"/>
    </row>
    <row r="244" spans="108:108" ht="15.75" customHeight="1">
      <c r="DD244" s="35"/>
    </row>
    <row r="245" spans="108:108" ht="15.75" customHeight="1">
      <c r="DD245" s="35"/>
    </row>
    <row r="246" spans="108:108" ht="15.75" customHeight="1">
      <c r="DD246" s="35"/>
    </row>
    <row r="247" spans="108:108" ht="15.75" customHeight="1">
      <c r="DD247" s="35"/>
    </row>
    <row r="248" spans="108:108" ht="15.75" customHeight="1">
      <c r="DD248" s="35"/>
    </row>
    <row r="249" spans="108:108" ht="15.75" customHeight="1">
      <c r="DD249" s="35"/>
    </row>
    <row r="250" spans="108:108" ht="15.75" customHeight="1">
      <c r="DD250" s="35"/>
    </row>
    <row r="251" spans="108:108" ht="15.75" customHeight="1">
      <c r="DD251" s="35"/>
    </row>
    <row r="252" spans="108:108" ht="15.75" customHeight="1">
      <c r="DD252" s="35"/>
    </row>
    <row r="253" spans="108:108" ht="15.75" customHeight="1">
      <c r="DD253" s="35"/>
    </row>
    <row r="254" spans="108:108" ht="15.75" customHeight="1">
      <c r="DD254" s="35"/>
    </row>
    <row r="255" spans="108:108" ht="15.75" customHeight="1">
      <c r="DD255" s="35"/>
    </row>
    <row r="256" spans="108:108" ht="15.75" customHeight="1">
      <c r="DD256" s="35"/>
    </row>
    <row r="257" spans="108:108" ht="15.75" customHeight="1">
      <c r="DD257" s="35"/>
    </row>
    <row r="258" spans="108:108" ht="15.75" customHeight="1">
      <c r="DD258" s="35"/>
    </row>
    <row r="259" spans="108:108" ht="15.75" customHeight="1">
      <c r="DD259" s="35"/>
    </row>
    <row r="260" spans="108:108" ht="15.75" customHeight="1">
      <c r="DD260" s="35"/>
    </row>
    <row r="261" spans="108:108" ht="15.75" customHeight="1">
      <c r="DD261" s="35"/>
    </row>
    <row r="262" spans="108:108" ht="15.75" customHeight="1">
      <c r="DD262" s="35"/>
    </row>
    <row r="263" spans="108:108" ht="15.75" customHeight="1">
      <c r="DD263" s="35"/>
    </row>
    <row r="264" spans="108:108" ht="15.75" customHeight="1">
      <c r="DD264" s="35"/>
    </row>
    <row r="265" spans="108:108" ht="15.75" customHeight="1">
      <c r="DD265" s="35"/>
    </row>
    <row r="266" spans="108:108" ht="15.75" customHeight="1">
      <c r="DD266" s="35"/>
    </row>
    <row r="267" spans="108:108" ht="15.75" customHeight="1">
      <c r="DD267" s="35"/>
    </row>
    <row r="268" spans="108:108" ht="15.75" customHeight="1">
      <c r="DD268" s="35"/>
    </row>
    <row r="269" spans="108:108" ht="15.75" customHeight="1">
      <c r="DD269" s="35"/>
    </row>
    <row r="270" spans="108:108" ht="15.75" customHeight="1">
      <c r="DD270" s="35"/>
    </row>
    <row r="271" spans="108:108" ht="15.75" customHeight="1">
      <c r="DD271" s="35"/>
    </row>
    <row r="272" spans="108:108" ht="15.75" customHeight="1">
      <c r="DD272" s="35"/>
    </row>
    <row r="273" spans="108:108" ht="15.75" customHeight="1">
      <c r="DD273" s="35"/>
    </row>
    <row r="274" spans="108:108" ht="15.75" customHeight="1">
      <c r="DD274" s="35"/>
    </row>
    <row r="275" spans="108:108" ht="15.75" customHeight="1">
      <c r="DD275" s="35"/>
    </row>
    <row r="276" spans="108:108" ht="15.75" customHeight="1">
      <c r="DD276" s="35"/>
    </row>
    <row r="277" spans="108:108" ht="15.75" customHeight="1">
      <c r="DD277" s="35"/>
    </row>
    <row r="278" spans="108:108" ht="15.75" customHeight="1">
      <c r="DD278" s="35"/>
    </row>
    <row r="279" spans="108:108" ht="15.75" customHeight="1">
      <c r="DD279" s="35"/>
    </row>
    <row r="280" spans="108:108" ht="15.75" customHeight="1">
      <c r="DD280" s="35"/>
    </row>
    <row r="281" spans="108:108" ht="15.75" customHeight="1">
      <c r="DD281" s="35"/>
    </row>
    <row r="282" spans="108:108" ht="15.75" customHeight="1">
      <c r="DD282" s="35"/>
    </row>
    <row r="283" spans="108:108" ht="15.75" customHeight="1">
      <c r="DD283" s="35"/>
    </row>
    <row r="284" spans="108:108" ht="15.75" customHeight="1">
      <c r="DD284" s="35"/>
    </row>
    <row r="285" spans="108:108" ht="15.75" customHeight="1">
      <c r="DD285" s="35"/>
    </row>
    <row r="286" spans="108:108" ht="15.75" customHeight="1">
      <c r="DD286" s="35"/>
    </row>
    <row r="287" spans="108:108" ht="15.75" customHeight="1">
      <c r="DD287" s="35"/>
    </row>
    <row r="288" spans="108:108" ht="15.75" customHeight="1">
      <c r="DD288" s="35"/>
    </row>
    <row r="289" spans="108:108" ht="15.75" customHeight="1">
      <c r="DD289" s="35"/>
    </row>
    <row r="290" spans="108:108" ht="15.75" customHeight="1">
      <c r="DD290" s="35"/>
    </row>
    <row r="291" spans="108:108" ht="15.75" customHeight="1">
      <c r="DD291" s="35"/>
    </row>
    <row r="292" spans="108:108" ht="15.75" customHeight="1">
      <c r="DD292" s="35"/>
    </row>
    <row r="293" spans="108:108" ht="15.75" customHeight="1">
      <c r="DD293" s="35"/>
    </row>
    <row r="294" spans="108:108" ht="15.75" customHeight="1">
      <c r="DD294" s="35"/>
    </row>
    <row r="295" spans="108:108" ht="15.75" customHeight="1">
      <c r="DD295" s="35"/>
    </row>
    <row r="296" spans="108:108" ht="15.75" customHeight="1">
      <c r="DD296" s="35"/>
    </row>
    <row r="297" spans="108:108" ht="15.75" customHeight="1">
      <c r="DD297" s="35"/>
    </row>
    <row r="298" spans="108:108" ht="15.75" customHeight="1">
      <c r="DD298" s="35"/>
    </row>
    <row r="299" spans="108:108" ht="15.75" customHeight="1">
      <c r="DD299" s="35"/>
    </row>
    <row r="300" spans="108:108" ht="15.75" customHeight="1">
      <c r="DD300" s="35"/>
    </row>
    <row r="301" spans="108:108" ht="15.75" customHeight="1">
      <c r="DD301" s="35"/>
    </row>
    <row r="302" spans="108:108" ht="15.75" customHeight="1">
      <c r="DD302" s="35"/>
    </row>
    <row r="303" spans="108:108" ht="15.75" customHeight="1">
      <c r="DD303" s="35"/>
    </row>
    <row r="304" spans="108:108" ht="15.75" customHeight="1">
      <c r="DD304" s="35"/>
    </row>
    <row r="305" spans="108:108" ht="15.75" customHeight="1">
      <c r="DD305" s="35"/>
    </row>
    <row r="306" spans="108:108" ht="15.75" customHeight="1">
      <c r="DD306" s="35"/>
    </row>
    <row r="307" spans="108:108" ht="15.75" customHeight="1">
      <c r="DD307" s="35"/>
    </row>
    <row r="308" spans="108:108" ht="15.75" customHeight="1">
      <c r="DD308" s="35"/>
    </row>
    <row r="309" spans="108:108" ht="15.75" customHeight="1">
      <c r="DD309" s="35"/>
    </row>
    <row r="310" spans="108:108" ht="15.75" customHeight="1">
      <c r="DD310" s="35"/>
    </row>
    <row r="311" spans="108:108" ht="15.75" customHeight="1">
      <c r="DD311" s="35"/>
    </row>
    <row r="312" spans="108:108" ht="15.75" customHeight="1">
      <c r="DD312" s="35"/>
    </row>
    <row r="313" spans="108:108" ht="15.75" customHeight="1">
      <c r="DD313" s="35"/>
    </row>
    <row r="314" spans="108:108" ht="15.75" customHeight="1">
      <c r="DD314" s="35"/>
    </row>
    <row r="315" spans="108:108" ht="15.75" customHeight="1">
      <c r="DD315" s="35"/>
    </row>
    <row r="316" spans="108:108" ht="15.75" customHeight="1">
      <c r="DD316" s="35"/>
    </row>
    <row r="317" spans="108:108" ht="15.75" customHeight="1">
      <c r="DD317" s="35"/>
    </row>
    <row r="318" spans="108:108" ht="15.75" customHeight="1">
      <c r="DD318" s="35"/>
    </row>
    <row r="319" spans="108:108" ht="15.75" customHeight="1">
      <c r="DD319" s="35"/>
    </row>
    <row r="320" spans="108:108" ht="15.75" customHeight="1">
      <c r="DD320" s="35"/>
    </row>
    <row r="321" spans="108:108" ht="15.75" customHeight="1">
      <c r="DD321" s="35"/>
    </row>
    <row r="322" spans="108:108" ht="15.75" customHeight="1">
      <c r="DD322" s="35"/>
    </row>
    <row r="323" spans="108:108" ht="15.75" customHeight="1">
      <c r="DD323" s="35"/>
    </row>
    <row r="324" spans="108:108" ht="15.75" customHeight="1">
      <c r="DD324" s="35"/>
    </row>
    <row r="325" spans="108:108" ht="15.75" customHeight="1">
      <c r="DD325" s="35"/>
    </row>
    <row r="326" spans="108:108" ht="15.75" customHeight="1">
      <c r="DD326" s="35"/>
    </row>
    <row r="327" spans="108:108" ht="15.75" customHeight="1">
      <c r="DD327" s="35"/>
    </row>
    <row r="328" spans="108:108" ht="15.75" customHeight="1">
      <c r="DD328" s="35"/>
    </row>
    <row r="329" spans="108:108" ht="15.75" customHeight="1">
      <c r="DD329" s="35"/>
    </row>
    <row r="330" spans="108:108" ht="15.75" customHeight="1">
      <c r="DD330" s="35"/>
    </row>
    <row r="331" spans="108:108" ht="15.75" customHeight="1">
      <c r="DD331" s="35"/>
    </row>
    <row r="332" spans="108:108" ht="15.75" customHeight="1">
      <c r="DD332" s="35"/>
    </row>
    <row r="333" spans="108:108" ht="15.75" customHeight="1">
      <c r="DD333" s="35"/>
    </row>
    <row r="334" spans="108:108" ht="15.75" customHeight="1">
      <c r="DD334" s="35"/>
    </row>
    <row r="335" spans="108:108" ht="15.75" customHeight="1">
      <c r="DD335" s="35"/>
    </row>
    <row r="336" spans="108:108" ht="15.75" customHeight="1">
      <c r="DD336" s="35"/>
    </row>
    <row r="337" spans="108:108" ht="15.75" customHeight="1">
      <c r="DD337" s="35"/>
    </row>
    <row r="338" spans="108:108" ht="15.75" customHeight="1">
      <c r="DD338" s="35"/>
    </row>
    <row r="339" spans="108:108" ht="15.75" customHeight="1">
      <c r="DD339" s="35"/>
    </row>
    <row r="340" spans="108:108" ht="15.75" customHeight="1">
      <c r="DD340" s="35"/>
    </row>
    <row r="341" spans="108:108" ht="15.75" customHeight="1">
      <c r="DD341" s="35"/>
    </row>
    <row r="342" spans="108:108" ht="15.75" customHeight="1">
      <c r="DD342" s="35"/>
    </row>
    <row r="343" spans="108:108" ht="15.75" customHeight="1">
      <c r="DD343" s="35"/>
    </row>
    <row r="344" spans="108:108" ht="15.75" customHeight="1">
      <c r="DD344" s="35"/>
    </row>
    <row r="345" spans="108:108" ht="15.75" customHeight="1">
      <c r="DD345" s="35"/>
    </row>
    <row r="346" spans="108:108" ht="15.75" customHeight="1">
      <c r="DD346" s="35"/>
    </row>
    <row r="347" spans="108:108" ht="15.75" customHeight="1">
      <c r="DD347" s="35"/>
    </row>
    <row r="348" spans="108:108" ht="15.75" customHeight="1">
      <c r="DD348" s="35"/>
    </row>
    <row r="349" spans="108:108" ht="15.75" customHeight="1">
      <c r="DD349" s="35"/>
    </row>
    <row r="350" spans="108:108" ht="15.75" customHeight="1">
      <c r="DD350" s="35"/>
    </row>
    <row r="351" spans="108:108" ht="15.75" customHeight="1">
      <c r="DD351" s="35"/>
    </row>
    <row r="352" spans="108:108" ht="15.75" customHeight="1">
      <c r="DD352" s="35"/>
    </row>
    <row r="353" spans="108:108" ht="15.75" customHeight="1">
      <c r="DD353" s="35"/>
    </row>
    <row r="354" spans="108:108" ht="15.75" customHeight="1">
      <c r="DD354" s="35"/>
    </row>
    <row r="355" spans="108:108" ht="15.75" customHeight="1">
      <c r="DD355" s="35"/>
    </row>
    <row r="356" spans="108:108" ht="15.75" customHeight="1">
      <c r="DD356" s="35"/>
    </row>
    <row r="357" spans="108:108" ht="15.75" customHeight="1">
      <c r="DD357" s="35"/>
    </row>
    <row r="358" spans="108:108" ht="15.75" customHeight="1">
      <c r="DD358" s="35"/>
    </row>
    <row r="359" spans="108:108" ht="15.75" customHeight="1">
      <c r="DD359" s="35"/>
    </row>
    <row r="360" spans="108:108" ht="15.75" customHeight="1">
      <c r="DD360" s="35"/>
    </row>
    <row r="361" spans="108:108" ht="15.75" customHeight="1">
      <c r="DD361" s="35"/>
    </row>
    <row r="362" spans="108:108" ht="15.75" customHeight="1">
      <c r="DD362" s="35"/>
    </row>
    <row r="363" spans="108:108" ht="15.75" customHeight="1">
      <c r="DD363" s="35"/>
    </row>
    <row r="364" spans="108:108" ht="15.75" customHeight="1">
      <c r="DD364" s="35"/>
    </row>
    <row r="365" spans="108:108" ht="15.75" customHeight="1">
      <c r="DD365" s="35"/>
    </row>
    <row r="366" spans="108:108" ht="15.75" customHeight="1">
      <c r="DD366" s="35"/>
    </row>
    <row r="367" spans="108:108" ht="15.75" customHeight="1">
      <c r="DD367" s="35"/>
    </row>
    <row r="368" spans="108:108" ht="15.75" customHeight="1">
      <c r="DD368" s="35"/>
    </row>
    <row r="369" spans="108:108" ht="15.75" customHeight="1">
      <c r="DD369" s="35"/>
    </row>
    <row r="370" spans="108:108" ht="15.75" customHeight="1">
      <c r="DD370" s="35"/>
    </row>
    <row r="371" spans="108:108" ht="15.75" customHeight="1">
      <c r="DD371" s="35"/>
    </row>
    <row r="372" spans="108:108" ht="15.75" customHeight="1">
      <c r="DD372" s="35"/>
    </row>
    <row r="373" spans="108:108" ht="15.75" customHeight="1">
      <c r="DD373" s="35"/>
    </row>
    <row r="374" spans="108:108" ht="15.75" customHeight="1">
      <c r="DD374" s="35"/>
    </row>
    <row r="375" spans="108:108" ht="15.75" customHeight="1">
      <c r="DD375" s="35"/>
    </row>
    <row r="376" spans="108:108" ht="15.75" customHeight="1">
      <c r="DD376" s="35"/>
    </row>
    <row r="377" spans="108:108" ht="15.75" customHeight="1">
      <c r="DD377" s="35"/>
    </row>
    <row r="378" spans="108:108" ht="15.75" customHeight="1">
      <c r="DD378" s="35"/>
    </row>
    <row r="379" spans="108:108" ht="15.75" customHeight="1">
      <c r="DD379" s="35"/>
    </row>
    <row r="380" spans="108:108" ht="15.75" customHeight="1">
      <c r="DD380" s="35"/>
    </row>
    <row r="381" spans="108:108" ht="15.75" customHeight="1">
      <c r="DD381" s="35"/>
    </row>
    <row r="382" spans="108:108" ht="15.75" customHeight="1">
      <c r="DD382" s="35"/>
    </row>
    <row r="383" spans="108:108" ht="15.75" customHeight="1">
      <c r="DD383" s="35"/>
    </row>
    <row r="384" spans="108:108" ht="15.75" customHeight="1">
      <c r="DD384" s="35"/>
    </row>
    <row r="385" spans="108:108" ht="15.75" customHeight="1">
      <c r="DD385" s="35"/>
    </row>
    <row r="386" spans="108:108" ht="15.75" customHeight="1">
      <c r="DD386" s="35"/>
    </row>
    <row r="387" spans="108:108" ht="15.75" customHeight="1">
      <c r="DD387" s="35"/>
    </row>
    <row r="388" spans="108:108" ht="15.75" customHeight="1">
      <c r="DD388" s="35"/>
    </row>
    <row r="389" spans="108:108" ht="15.75" customHeight="1">
      <c r="DD389" s="35"/>
    </row>
    <row r="390" spans="108:108" ht="15.75" customHeight="1">
      <c r="DD390" s="35"/>
    </row>
    <row r="391" spans="108:108" ht="15.75" customHeight="1">
      <c r="DD391" s="35"/>
    </row>
    <row r="392" spans="108:108" ht="15.75" customHeight="1">
      <c r="DD392" s="35"/>
    </row>
    <row r="393" spans="108:108" ht="15.75" customHeight="1">
      <c r="DD393" s="35"/>
    </row>
    <row r="394" spans="108:108" ht="15.75" customHeight="1">
      <c r="DD394" s="35"/>
    </row>
    <row r="395" spans="108:108" ht="15.75" customHeight="1">
      <c r="DD395" s="35"/>
    </row>
    <row r="396" spans="108:108" ht="15.75" customHeight="1">
      <c r="DD396" s="35"/>
    </row>
    <row r="397" spans="108:108" ht="15.75" customHeight="1">
      <c r="DD397" s="35"/>
    </row>
    <row r="398" spans="108:108" ht="15.75" customHeight="1">
      <c r="DD398" s="35"/>
    </row>
    <row r="399" spans="108:108" ht="15.75" customHeight="1">
      <c r="DD399" s="35"/>
    </row>
    <row r="400" spans="108:108" ht="15.75" customHeight="1">
      <c r="DD400" s="35"/>
    </row>
    <row r="401" spans="108:108" ht="15.75" customHeight="1">
      <c r="DD401" s="35"/>
    </row>
    <row r="402" spans="108:108" ht="15.75" customHeight="1">
      <c r="DD402" s="35"/>
    </row>
    <row r="403" spans="108:108" ht="15.75" customHeight="1">
      <c r="DD403" s="35"/>
    </row>
    <row r="404" spans="108:108" ht="15.75" customHeight="1">
      <c r="DD404" s="35"/>
    </row>
    <row r="405" spans="108:108" ht="15.75" customHeight="1">
      <c r="DD405" s="35"/>
    </row>
    <row r="406" spans="108:108" ht="15.75" customHeight="1">
      <c r="DD406" s="35"/>
    </row>
    <row r="407" spans="108:108" ht="15.75" customHeight="1">
      <c r="DD407" s="35"/>
    </row>
    <row r="408" spans="108:108" ht="15.75" customHeight="1">
      <c r="DD408" s="35"/>
    </row>
    <row r="409" spans="108:108" ht="15.75" customHeight="1">
      <c r="DD409" s="35"/>
    </row>
    <row r="410" spans="108:108" ht="15.75" customHeight="1">
      <c r="DD410" s="35"/>
    </row>
    <row r="411" spans="108:108" ht="15.75" customHeight="1">
      <c r="DD411" s="35"/>
    </row>
    <row r="412" spans="108:108" ht="15.75" customHeight="1">
      <c r="DD412" s="35"/>
    </row>
    <row r="413" spans="108:108" ht="15.75" customHeight="1">
      <c r="DD413" s="35"/>
    </row>
    <row r="414" spans="108:108" ht="15.75" customHeight="1">
      <c r="DD414" s="35"/>
    </row>
    <row r="415" spans="108:108" ht="15.75" customHeight="1">
      <c r="DD415" s="35"/>
    </row>
    <row r="416" spans="108:108" ht="15.75" customHeight="1">
      <c r="DD416" s="35"/>
    </row>
    <row r="417" spans="108:108" ht="15.75" customHeight="1">
      <c r="DD417" s="35"/>
    </row>
    <row r="418" spans="108:108" ht="15.75" customHeight="1">
      <c r="DD418" s="35"/>
    </row>
    <row r="419" spans="108:108" ht="15.75" customHeight="1">
      <c r="DD419" s="35"/>
    </row>
    <row r="420" spans="108:108" ht="15.75" customHeight="1">
      <c r="DD420" s="35"/>
    </row>
    <row r="421" spans="108:108" ht="15.75" customHeight="1">
      <c r="DD421" s="35"/>
    </row>
    <row r="422" spans="108:108" ht="15.75" customHeight="1">
      <c r="DD422" s="35"/>
    </row>
    <row r="423" spans="108:108" ht="15.75" customHeight="1">
      <c r="DD423" s="35"/>
    </row>
    <row r="424" spans="108:108" ht="15.75" customHeight="1">
      <c r="DD424" s="35"/>
    </row>
    <row r="425" spans="108:108" ht="15.75" customHeight="1">
      <c r="DD425" s="35"/>
    </row>
    <row r="426" spans="108:108" ht="15.75" customHeight="1">
      <c r="DD426" s="35"/>
    </row>
    <row r="427" spans="108:108" ht="15.75" customHeight="1">
      <c r="DD427" s="35"/>
    </row>
    <row r="428" spans="108:108" ht="15.75" customHeight="1">
      <c r="DD428" s="35"/>
    </row>
    <row r="429" spans="108:108" ht="15.75" customHeight="1">
      <c r="DD429" s="35"/>
    </row>
    <row r="430" spans="108:108" ht="15.75" customHeight="1">
      <c r="DD430" s="35"/>
    </row>
    <row r="431" spans="108:108" ht="15.75" customHeight="1">
      <c r="DD431" s="35"/>
    </row>
    <row r="432" spans="108:108" ht="15.75" customHeight="1">
      <c r="DD432" s="35"/>
    </row>
    <row r="433" spans="108:108" ht="15.75" customHeight="1">
      <c r="DD433" s="35"/>
    </row>
    <row r="434" spans="108:108" ht="15.75" customHeight="1">
      <c r="DD434" s="35"/>
    </row>
    <row r="435" spans="108:108" ht="15.75" customHeight="1">
      <c r="DD435" s="35"/>
    </row>
    <row r="436" spans="108:108" ht="15.75" customHeight="1">
      <c r="DD436" s="35"/>
    </row>
    <row r="437" spans="108:108" ht="15.75" customHeight="1">
      <c r="DD437" s="35"/>
    </row>
    <row r="438" spans="108:108" ht="15.75" customHeight="1">
      <c r="DD438" s="35"/>
    </row>
    <row r="439" spans="108:108" ht="15.75" customHeight="1">
      <c r="DD439" s="35"/>
    </row>
    <row r="440" spans="108:108" ht="15.75" customHeight="1">
      <c r="DD440" s="35"/>
    </row>
    <row r="441" spans="108:108" ht="15.75" customHeight="1">
      <c r="DD441" s="35"/>
    </row>
    <row r="442" spans="108:108" ht="15.75" customHeight="1">
      <c r="DD442" s="35"/>
    </row>
    <row r="443" spans="108:108" ht="15.75" customHeight="1">
      <c r="DD443" s="35"/>
    </row>
    <row r="444" spans="108:108" ht="15.75" customHeight="1">
      <c r="DD444" s="35"/>
    </row>
    <row r="445" spans="108:108" ht="15.75" customHeight="1">
      <c r="DD445" s="35"/>
    </row>
    <row r="446" spans="108:108" ht="15.75" customHeight="1">
      <c r="DD446" s="35"/>
    </row>
    <row r="447" spans="108:108" ht="15.75" customHeight="1">
      <c r="DD447" s="35"/>
    </row>
    <row r="448" spans="108:108" ht="15.75" customHeight="1">
      <c r="DD448" s="35"/>
    </row>
    <row r="449" spans="108:108" ht="15.75" customHeight="1">
      <c r="DD449" s="35"/>
    </row>
    <row r="450" spans="108:108" ht="15.75" customHeight="1">
      <c r="DD450" s="35"/>
    </row>
    <row r="451" spans="108:108" ht="15.75" customHeight="1">
      <c r="DD451" s="35"/>
    </row>
    <row r="452" spans="108:108" ht="15.75" customHeight="1">
      <c r="DD452" s="35"/>
    </row>
    <row r="453" spans="108:108" ht="15.75" customHeight="1">
      <c r="DD453" s="35"/>
    </row>
    <row r="454" spans="108:108" ht="15.75" customHeight="1">
      <c r="DD454" s="35"/>
    </row>
    <row r="455" spans="108:108" ht="15.75" customHeight="1">
      <c r="DD455" s="35"/>
    </row>
    <row r="456" spans="108:108" ht="15.75" customHeight="1">
      <c r="DD456" s="35"/>
    </row>
    <row r="457" spans="108:108" ht="15.75" customHeight="1">
      <c r="DD457" s="35"/>
    </row>
    <row r="458" spans="108:108" ht="15.75" customHeight="1">
      <c r="DD458" s="35"/>
    </row>
    <row r="459" spans="108:108" ht="15.75" customHeight="1">
      <c r="DD459" s="35"/>
    </row>
    <row r="460" spans="108:108" ht="15.75" customHeight="1">
      <c r="DD460" s="35"/>
    </row>
    <row r="461" spans="108:108" ht="15.75" customHeight="1">
      <c r="DD461" s="35"/>
    </row>
    <row r="462" spans="108:108" ht="15.75" customHeight="1">
      <c r="DD462" s="35"/>
    </row>
    <row r="463" spans="108:108" ht="15.75" customHeight="1">
      <c r="DD463" s="35"/>
    </row>
    <row r="464" spans="108:108" ht="15.75" customHeight="1">
      <c r="DD464" s="35"/>
    </row>
    <row r="465" spans="108:108" ht="15.75" customHeight="1">
      <c r="DD465" s="35"/>
    </row>
    <row r="466" spans="108:108" ht="15.75" customHeight="1">
      <c r="DD466" s="35"/>
    </row>
    <row r="467" spans="108:108" ht="15.75" customHeight="1">
      <c r="DD467" s="35"/>
    </row>
    <row r="468" spans="108:108" ht="15.75" customHeight="1">
      <c r="DD468" s="35"/>
    </row>
    <row r="469" spans="108:108" ht="15.75" customHeight="1">
      <c r="DD469" s="35"/>
    </row>
    <row r="470" spans="108:108" ht="15.75" customHeight="1">
      <c r="DD470" s="35"/>
    </row>
    <row r="471" spans="108:108" ht="15.75" customHeight="1">
      <c r="DD471" s="35"/>
    </row>
    <row r="472" spans="108:108" ht="15.75" customHeight="1">
      <c r="DD472" s="35"/>
    </row>
    <row r="473" spans="108:108" ht="15.75" customHeight="1">
      <c r="DD473" s="35"/>
    </row>
    <row r="474" spans="108:108" ht="15.75" customHeight="1">
      <c r="DD474" s="35"/>
    </row>
    <row r="475" spans="108:108" ht="15.75" customHeight="1">
      <c r="DD475" s="35"/>
    </row>
    <row r="476" spans="108:108" ht="15.75" customHeight="1">
      <c r="DD476" s="35"/>
    </row>
    <row r="477" spans="108:108" ht="15.75" customHeight="1">
      <c r="DD477" s="35"/>
    </row>
    <row r="478" spans="108:108" ht="15.75" customHeight="1">
      <c r="DD478" s="35"/>
    </row>
    <row r="479" spans="108:108" ht="15.75" customHeight="1">
      <c r="DD479" s="35"/>
    </row>
    <row r="480" spans="108:108" ht="15.75" customHeight="1">
      <c r="DD480" s="35"/>
    </row>
    <row r="481" spans="108:108" ht="15.75" customHeight="1">
      <c r="DD481" s="35"/>
    </row>
    <row r="482" spans="108:108" ht="15.75" customHeight="1">
      <c r="DD482" s="35"/>
    </row>
    <row r="483" spans="108:108" ht="15.75" customHeight="1">
      <c r="DD483" s="35"/>
    </row>
    <row r="484" spans="108:108" ht="15.75" customHeight="1">
      <c r="DD484" s="35"/>
    </row>
    <row r="485" spans="108:108" ht="15.75" customHeight="1">
      <c r="DD485" s="35"/>
    </row>
    <row r="486" spans="108:108" ht="15.75" customHeight="1">
      <c r="DD486" s="35"/>
    </row>
    <row r="487" spans="108:108" ht="15.75" customHeight="1">
      <c r="DD487" s="35"/>
    </row>
    <row r="488" spans="108:108" ht="15.75" customHeight="1">
      <c r="DD488" s="35"/>
    </row>
    <row r="489" spans="108:108" ht="15.75" customHeight="1">
      <c r="DD489" s="35"/>
    </row>
    <row r="490" spans="108:108" ht="15.75" customHeight="1">
      <c r="DD490" s="35"/>
    </row>
    <row r="491" spans="108:108" ht="15.75" customHeight="1">
      <c r="DD491" s="35"/>
    </row>
    <row r="492" spans="108:108" ht="15.75" customHeight="1">
      <c r="DD492" s="35"/>
    </row>
    <row r="493" spans="108:108" ht="15.75" customHeight="1">
      <c r="DD493" s="35"/>
    </row>
    <row r="494" spans="108:108" ht="15.75" customHeight="1">
      <c r="DD494" s="35"/>
    </row>
    <row r="495" spans="108:108" ht="15.75" customHeight="1">
      <c r="DD495" s="35"/>
    </row>
    <row r="496" spans="108:108" ht="15.75" customHeight="1">
      <c r="DD496" s="35"/>
    </row>
    <row r="497" spans="108:108" ht="15.75" customHeight="1">
      <c r="DD497" s="35"/>
    </row>
    <row r="498" spans="108:108" ht="15.75" customHeight="1">
      <c r="DD498" s="35"/>
    </row>
    <row r="499" spans="108:108" ht="15.75" customHeight="1">
      <c r="DD499" s="35"/>
    </row>
    <row r="500" spans="108:108" ht="15.75" customHeight="1">
      <c r="DD500" s="35"/>
    </row>
    <row r="501" spans="108:108" ht="15.75" customHeight="1">
      <c r="DD501" s="35"/>
    </row>
    <row r="502" spans="108:108" ht="15.75" customHeight="1">
      <c r="DD502" s="35"/>
    </row>
    <row r="503" spans="108:108" ht="15.75" customHeight="1">
      <c r="DD503" s="35"/>
    </row>
    <row r="504" spans="108:108" ht="15.75" customHeight="1">
      <c r="DD504" s="35"/>
    </row>
    <row r="505" spans="108:108" ht="15.75" customHeight="1">
      <c r="DD505" s="35"/>
    </row>
    <row r="506" spans="108:108" ht="15.75" customHeight="1">
      <c r="DD506" s="35"/>
    </row>
    <row r="507" spans="108:108" ht="15.75" customHeight="1">
      <c r="DD507" s="35"/>
    </row>
    <row r="508" spans="108:108" ht="15.75" customHeight="1">
      <c r="DD508" s="35"/>
    </row>
    <row r="509" spans="108:108" ht="15.75" customHeight="1">
      <c r="DD509" s="35"/>
    </row>
    <row r="510" spans="108:108" ht="15.75" customHeight="1">
      <c r="DD510" s="35"/>
    </row>
    <row r="511" spans="108:108" ht="15.75" customHeight="1">
      <c r="DD511" s="35"/>
    </row>
    <row r="512" spans="108:108" ht="15.75" customHeight="1">
      <c r="DD512" s="35"/>
    </row>
    <row r="513" spans="108:108" ht="15.75" customHeight="1">
      <c r="DD513" s="35"/>
    </row>
    <row r="514" spans="108:108" ht="15.75" customHeight="1">
      <c r="DD514" s="35"/>
    </row>
    <row r="515" spans="108:108" ht="15.75" customHeight="1">
      <c r="DD515" s="35"/>
    </row>
    <row r="516" spans="108:108" ht="15.75" customHeight="1">
      <c r="DD516" s="35"/>
    </row>
    <row r="517" spans="108:108" ht="15.75" customHeight="1">
      <c r="DD517" s="35"/>
    </row>
    <row r="518" spans="108:108" ht="15.75" customHeight="1">
      <c r="DD518" s="35"/>
    </row>
    <row r="519" spans="108:108" ht="15.75" customHeight="1">
      <c r="DD519" s="35"/>
    </row>
    <row r="520" spans="108:108" ht="15.75" customHeight="1">
      <c r="DD520" s="35"/>
    </row>
    <row r="521" spans="108:108" ht="15.75" customHeight="1">
      <c r="DD521" s="35"/>
    </row>
    <row r="522" spans="108:108" ht="15.75" customHeight="1">
      <c r="DD522" s="35"/>
    </row>
    <row r="523" spans="108:108" ht="15.75" customHeight="1">
      <c r="DD523" s="35"/>
    </row>
    <row r="524" spans="108:108" ht="15.75" customHeight="1">
      <c r="DD524" s="35"/>
    </row>
    <row r="525" spans="108:108" ht="15.75" customHeight="1">
      <c r="DD525" s="35"/>
    </row>
    <row r="526" spans="108:108" ht="15.75" customHeight="1">
      <c r="DD526" s="35"/>
    </row>
    <row r="527" spans="108:108" ht="15.75" customHeight="1">
      <c r="DD527" s="35"/>
    </row>
    <row r="528" spans="108:108" ht="15.75" customHeight="1">
      <c r="DD528" s="35"/>
    </row>
    <row r="529" spans="108:108" ht="15.75" customHeight="1">
      <c r="DD529" s="35"/>
    </row>
    <row r="530" spans="108:108" ht="15.75" customHeight="1">
      <c r="DD530" s="35"/>
    </row>
    <row r="531" spans="108:108" ht="15.75" customHeight="1">
      <c r="DD531" s="35"/>
    </row>
    <row r="532" spans="108:108" ht="15.75" customHeight="1">
      <c r="DD532" s="35"/>
    </row>
    <row r="533" spans="108:108" ht="15.75" customHeight="1">
      <c r="DD533" s="35"/>
    </row>
    <row r="534" spans="108:108" ht="15.75" customHeight="1">
      <c r="DD534" s="35"/>
    </row>
    <row r="535" spans="108:108" ht="15.75" customHeight="1">
      <c r="DD535" s="35"/>
    </row>
    <row r="536" spans="108:108" ht="15.75" customHeight="1">
      <c r="DD536" s="35"/>
    </row>
    <row r="537" spans="108:108" ht="15.75" customHeight="1">
      <c r="DD537" s="35"/>
    </row>
    <row r="538" spans="108:108" ht="15.75" customHeight="1">
      <c r="DD538" s="35"/>
    </row>
    <row r="539" spans="108:108" ht="15.75" customHeight="1">
      <c r="DD539" s="35"/>
    </row>
    <row r="540" spans="108:108" ht="15.75" customHeight="1">
      <c r="DD540" s="35"/>
    </row>
    <row r="541" spans="108:108" ht="15.75" customHeight="1">
      <c r="DD541" s="35"/>
    </row>
    <row r="542" spans="108:108" ht="15.75" customHeight="1">
      <c r="DD542" s="35"/>
    </row>
    <row r="543" spans="108:108" ht="15.75" customHeight="1">
      <c r="DD543" s="35"/>
    </row>
    <row r="544" spans="108:108" ht="15.75" customHeight="1">
      <c r="DD544" s="35"/>
    </row>
    <row r="545" spans="108:108" ht="15.75" customHeight="1">
      <c r="DD545" s="35"/>
    </row>
    <row r="546" spans="108:108" ht="15.75" customHeight="1">
      <c r="DD546" s="35"/>
    </row>
    <row r="547" spans="108:108" ht="15.75" customHeight="1">
      <c r="DD547" s="35"/>
    </row>
    <row r="548" spans="108:108" ht="15.75" customHeight="1">
      <c r="DD548" s="35"/>
    </row>
    <row r="549" spans="108:108" ht="15.75" customHeight="1">
      <c r="DD549" s="35"/>
    </row>
    <row r="550" spans="108:108" ht="15.75" customHeight="1">
      <c r="DD550" s="35"/>
    </row>
    <row r="551" spans="108:108" ht="15.75" customHeight="1">
      <c r="DD551" s="35"/>
    </row>
    <row r="552" spans="108:108" ht="15.75" customHeight="1">
      <c r="DD552" s="35"/>
    </row>
    <row r="553" spans="108:108" ht="15.75" customHeight="1">
      <c r="DD553" s="35"/>
    </row>
    <row r="554" spans="108:108" ht="15.75" customHeight="1">
      <c r="DD554" s="35"/>
    </row>
    <row r="555" spans="108:108" ht="15.75" customHeight="1">
      <c r="DD555" s="35"/>
    </row>
    <row r="556" spans="108:108" ht="15.75" customHeight="1">
      <c r="DD556" s="35"/>
    </row>
    <row r="557" spans="108:108" ht="15.75" customHeight="1">
      <c r="DD557" s="35"/>
    </row>
    <row r="558" spans="108:108" ht="15.75" customHeight="1">
      <c r="DD558" s="35"/>
    </row>
    <row r="559" spans="108:108" ht="15.75" customHeight="1">
      <c r="DD559" s="35"/>
    </row>
    <row r="560" spans="108:108" ht="15.75" customHeight="1">
      <c r="DD560" s="35"/>
    </row>
    <row r="561" spans="108:108" ht="15.75" customHeight="1">
      <c r="DD561" s="35"/>
    </row>
    <row r="562" spans="108:108" ht="15.75" customHeight="1">
      <c r="DD562" s="35"/>
    </row>
    <row r="563" spans="108:108" ht="15.75" customHeight="1">
      <c r="DD563" s="35"/>
    </row>
    <row r="564" spans="108:108" ht="15.75" customHeight="1">
      <c r="DD564" s="35"/>
    </row>
    <row r="565" spans="108:108" ht="15.75" customHeight="1">
      <c r="DD565" s="35"/>
    </row>
    <row r="566" spans="108:108" ht="15.75" customHeight="1">
      <c r="DD566" s="35"/>
    </row>
    <row r="567" spans="108:108" ht="15.75" customHeight="1">
      <c r="DD567" s="35"/>
    </row>
    <row r="568" spans="108:108" ht="15.75" customHeight="1">
      <c r="DD568" s="35"/>
    </row>
    <row r="569" spans="108:108" ht="15.75" customHeight="1">
      <c r="DD569" s="35"/>
    </row>
    <row r="570" spans="108:108" ht="15.75" customHeight="1">
      <c r="DD570" s="35"/>
    </row>
    <row r="571" spans="108:108" ht="15.75" customHeight="1">
      <c r="DD571" s="35"/>
    </row>
    <row r="572" spans="108:108" ht="15.75" customHeight="1">
      <c r="DD572" s="35"/>
    </row>
    <row r="573" spans="108:108" ht="15.75" customHeight="1">
      <c r="DD573" s="35"/>
    </row>
    <row r="574" spans="108:108" ht="15.75" customHeight="1">
      <c r="DD574" s="35"/>
    </row>
    <row r="575" spans="108:108" ht="15.75" customHeight="1">
      <c r="DD575" s="35"/>
    </row>
    <row r="576" spans="108:108" ht="15.75" customHeight="1">
      <c r="DD576" s="35"/>
    </row>
    <row r="577" spans="108:108" ht="15.75" customHeight="1">
      <c r="DD577" s="35"/>
    </row>
    <row r="578" spans="108:108" ht="15.75" customHeight="1">
      <c r="DD578" s="35"/>
    </row>
    <row r="579" spans="108:108" ht="15.75" customHeight="1">
      <c r="DD579" s="35"/>
    </row>
    <row r="580" spans="108:108" ht="15.75" customHeight="1">
      <c r="DD580" s="35"/>
    </row>
    <row r="581" spans="108:108" ht="15.75" customHeight="1">
      <c r="DD581" s="35"/>
    </row>
    <row r="582" spans="108:108" ht="15.75" customHeight="1">
      <c r="DD582" s="35"/>
    </row>
    <row r="583" spans="108:108" ht="15.75" customHeight="1">
      <c r="DD583" s="35"/>
    </row>
    <row r="584" spans="108:108" ht="15.75" customHeight="1">
      <c r="DD584" s="35"/>
    </row>
    <row r="585" spans="108:108" ht="15.75" customHeight="1">
      <c r="DD585" s="35"/>
    </row>
    <row r="586" spans="108:108" ht="15.75" customHeight="1">
      <c r="DD586" s="35"/>
    </row>
    <row r="587" spans="108:108" ht="15.75" customHeight="1">
      <c r="DD587" s="35"/>
    </row>
    <row r="588" spans="108:108" ht="15.75" customHeight="1">
      <c r="DD588" s="35"/>
    </row>
    <row r="589" spans="108:108" ht="15.75" customHeight="1">
      <c r="DD589" s="35"/>
    </row>
    <row r="590" spans="108:108" ht="15.75" customHeight="1">
      <c r="DD590" s="35"/>
    </row>
    <row r="591" spans="108:108" ht="15.75" customHeight="1">
      <c r="DD591" s="35"/>
    </row>
    <row r="592" spans="108:108" ht="15.75" customHeight="1">
      <c r="DD592" s="35"/>
    </row>
    <row r="593" spans="108:108" ht="15.75" customHeight="1">
      <c r="DD593" s="35"/>
    </row>
    <row r="594" spans="108:108" ht="15.75" customHeight="1">
      <c r="DD594" s="35"/>
    </row>
    <row r="595" spans="108:108" ht="15.75" customHeight="1">
      <c r="DD595" s="35"/>
    </row>
    <row r="596" spans="108:108" ht="15.75" customHeight="1">
      <c r="DD596" s="35"/>
    </row>
    <row r="597" spans="108:108" ht="15.75" customHeight="1">
      <c r="DD597" s="35"/>
    </row>
    <row r="598" spans="108:108" ht="15.75" customHeight="1">
      <c r="DD598" s="35"/>
    </row>
    <row r="599" spans="108:108" ht="15.75" customHeight="1">
      <c r="DD599" s="35"/>
    </row>
    <row r="600" spans="108:108" ht="15.75" customHeight="1">
      <c r="DD600" s="35"/>
    </row>
    <row r="601" spans="108:108" ht="15.75" customHeight="1">
      <c r="DD601" s="35"/>
    </row>
    <row r="602" spans="108:108" ht="15.75" customHeight="1">
      <c r="DD602" s="35"/>
    </row>
    <row r="603" spans="108:108" ht="15.75" customHeight="1">
      <c r="DD603" s="35"/>
    </row>
    <row r="604" spans="108:108" ht="15.75" customHeight="1">
      <c r="DD604" s="35"/>
    </row>
    <row r="605" spans="108:108" ht="15.75" customHeight="1">
      <c r="DD605" s="35"/>
    </row>
    <row r="606" spans="108:108" ht="15.75" customHeight="1">
      <c r="DD606" s="35"/>
    </row>
    <row r="607" spans="108:108" ht="15.75" customHeight="1">
      <c r="DD607" s="35"/>
    </row>
    <row r="608" spans="108:108" ht="15.75" customHeight="1">
      <c r="DD608" s="35"/>
    </row>
    <row r="609" spans="108:108" ht="15.75" customHeight="1">
      <c r="DD609" s="35"/>
    </row>
    <row r="610" spans="108:108" ht="15.75" customHeight="1">
      <c r="DD610" s="35"/>
    </row>
    <row r="611" spans="108:108" ht="15.75" customHeight="1">
      <c r="DD611" s="35"/>
    </row>
    <row r="612" spans="108:108" ht="15.75" customHeight="1">
      <c r="DD612" s="35"/>
    </row>
    <row r="613" spans="108:108" ht="15.75" customHeight="1">
      <c r="DD613" s="35"/>
    </row>
    <row r="614" spans="108:108" ht="15.75" customHeight="1">
      <c r="DD614" s="35"/>
    </row>
    <row r="615" spans="108:108" ht="15.75" customHeight="1">
      <c r="DD615" s="35"/>
    </row>
    <row r="616" spans="108:108" ht="15.75" customHeight="1">
      <c r="DD616" s="35"/>
    </row>
    <row r="617" spans="108:108" ht="15.75" customHeight="1">
      <c r="DD617" s="35"/>
    </row>
    <row r="618" spans="108:108" ht="15.75" customHeight="1">
      <c r="DD618" s="35"/>
    </row>
    <row r="619" spans="108:108" ht="15.75" customHeight="1">
      <c r="DD619" s="35"/>
    </row>
    <row r="620" spans="108:108" ht="15.75" customHeight="1">
      <c r="DD620" s="35"/>
    </row>
    <row r="621" spans="108:108" ht="15.75" customHeight="1">
      <c r="DD621" s="35"/>
    </row>
    <row r="622" spans="108:108" ht="15.75" customHeight="1">
      <c r="DD622" s="35"/>
    </row>
    <row r="623" spans="108:108" ht="15.75" customHeight="1">
      <c r="DD623" s="35"/>
    </row>
    <row r="624" spans="108:108" ht="15.75" customHeight="1">
      <c r="DD624" s="35"/>
    </row>
    <row r="625" spans="108:108" ht="15.75" customHeight="1">
      <c r="DD625" s="35"/>
    </row>
    <row r="626" spans="108:108" ht="15.75" customHeight="1">
      <c r="DD626" s="35"/>
    </row>
    <row r="627" spans="108:108" ht="15.75" customHeight="1">
      <c r="DD627" s="35"/>
    </row>
    <row r="628" spans="108:108" ht="15.75" customHeight="1">
      <c r="DD628" s="35"/>
    </row>
    <row r="629" spans="108:108" ht="15.75" customHeight="1">
      <c r="DD629" s="35"/>
    </row>
    <row r="630" spans="108:108" ht="15.75" customHeight="1">
      <c r="DD630" s="35"/>
    </row>
    <row r="631" spans="108:108" ht="15.75" customHeight="1">
      <c r="DD631" s="35"/>
    </row>
    <row r="632" spans="108:108" ht="15.75" customHeight="1">
      <c r="DD632" s="35"/>
    </row>
    <row r="633" spans="108:108" ht="15.75" customHeight="1">
      <c r="DD633" s="35"/>
    </row>
    <row r="634" spans="108:108" ht="15.75" customHeight="1">
      <c r="DD634" s="35"/>
    </row>
    <row r="635" spans="108:108" ht="15.75" customHeight="1">
      <c r="DD635" s="35"/>
    </row>
    <row r="636" spans="108:108" ht="15.75" customHeight="1">
      <c r="DD636" s="35"/>
    </row>
    <row r="637" spans="108:108" ht="15.75" customHeight="1">
      <c r="DD637" s="35"/>
    </row>
    <row r="638" spans="108:108" ht="15.75" customHeight="1">
      <c r="DD638" s="35"/>
    </row>
    <row r="639" spans="108:108" ht="15.75" customHeight="1">
      <c r="DD639" s="35"/>
    </row>
    <row r="640" spans="108:108" ht="15.75" customHeight="1">
      <c r="DD640" s="35"/>
    </row>
    <row r="641" spans="108:108" ht="15.75" customHeight="1">
      <c r="DD641" s="35"/>
    </row>
    <row r="642" spans="108:108" ht="15.75" customHeight="1">
      <c r="DD642" s="35"/>
    </row>
    <row r="643" spans="108:108" ht="15.75" customHeight="1">
      <c r="DD643" s="35"/>
    </row>
    <row r="644" spans="108:108" ht="15.75" customHeight="1">
      <c r="DD644" s="35"/>
    </row>
    <row r="645" spans="108:108" ht="15.75" customHeight="1">
      <c r="DD645" s="35"/>
    </row>
    <row r="646" spans="108:108" ht="15.75" customHeight="1">
      <c r="DD646" s="35"/>
    </row>
    <row r="647" spans="108:108" ht="15.75" customHeight="1">
      <c r="DD647" s="35"/>
    </row>
    <row r="648" spans="108:108" ht="15.75" customHeight="1">
      <c r="DD648" s="35"/>
    </row>
    <row r="649" spans="108:108" ht="15.75" customHeight="1">
      <c r="DD649" s="35"/>
    </row>
    <row r="650" spans="108:108" ht="15.75" customHeight="1">
      <c r="DD650" s="35"/>
    </row>
    <row r="651" spans="108:108" ht="15.75" customHeight="1">
      <c r="DD651" s="35"/>
    </row>
    <row r="652" spans="108:108" ht="15.75" customHeight="1">
      <c r="DD652" s="35"/>
    </row>
    <row r="653" spans="108:108" ht="15.75" customHeight="1">
      <c r="DD653" s="35"/>
    </row>
    <row r="654" spans="108:108" ht="15.75" customHeight="1">
      <c r="DD654" s="35"/>
    </row>
    <row r="655" spans="108:108" ht="15.75" customHeight="1">
      <c r="DD655" s="35"/>
    </row>
    <row r="656" spans="108:108" ht="15.75" customHeight="1">
      <c r="DD656" s="35"/>
    </row>
    <row r="657" spans="108:108" ht="15.75" customHeight="1">
      <c r="DD657" s="35"/>
    </row>
    <row r="658" spans="108:108" ht="15.75" customHeight="1">
      <c r="DD658" s="35"/>
    </row>
    <row r="659" spans="108:108" ht="15.75" customHeight="1">
      <c r="DD659" s="35"/>
    </row>
    <row r="660" spans="108:108" ht="15.75" customHeight="1">
      <c r="DD660" s="35"/>
    </row>
    <row r="661" spans="108:108" ht="15.75" customHeight="1">
      <c r="DD661" s="35"/>
    </row>
    <row r="662" spans="108:108" ht="15.75" customHeight="1">
      <c r="DD662" s="35"/>
    </row>
    <row r="663" spans="108:108" ht="15.75" customHeight="1">
      <c r="DD663" s="35"/>
    </row>
    <row r="664" spans="108:108" ht="15.75" customHeight="1">
      <c r="DD664" s="35"/>
    </row>
    <row r="665" spans="108:108" ht="15.75" customHeight="1">
      <c r="DD665" s="35"/>
    </row>
    <row r="666" spans="108:108" ht="15.75" customHeight="1">
      <c r="DD666" s="35"/>
    </row>
    <row r="667" spans="108:108" ht="15.75" customHeight="1">
      <c r="DD667" s="35"/>
    </row>
    <row r="668" spans="108:108" ht="15.75" customHeight="1">
      <c r="DD668" s="35"/>
    </row>
    <row r="669" spans="108:108" ht="15.75" customHeight="1">
      <c r="DD669" s="35"/>
    </row>
    <row r="670" spans="108:108" ht="15.75" customHeight="1">
      <c r="DD670" s="35"/>
    </row>
    <row r="671" spans="108:108" ht="15.75" customHeight="1">
      <c r="DD671" s="35"/>
    </row>
    <row r="672" spans="108:108" ht="15.75" customHeight="1">
      <c r="DD672" s="35"/>
    </row>
    <row r="673" spans="108:108" ht="15.75" customHeight="1">
      <c r="DD673" s="35"/>
    </row>
    <row r="674" spans="108:108" ht="15.75" customHeight="1">
      <c r="DD674" s="35"/>
    </row>
    <row r="675" spans="108:108" ht="15.75" customHeight="1">
      <c r="DD675" s="35"/>
    </row>
    <row r="676" spans="108:108" ht="15.75" customHeight="1">
      <c r="DD676" s="35"/>
    </row>
    <row r="677" spans="108:108" ht="15.75" customHeight="1">
      <c r="DD677" s="35"/>
    </row>
    <row r="678" spans="108:108" ht="15.75" customHeight="1">
      <c r="DD678" s="35"/>
    </row>
    <row r="679" spans="108:108" ht="15.75" customHeight="1">
      <c r="DD679" s="35"/>
    </row>
    <row r="680" spans="108:108" ht="15.75" customHeight="1">
      <c r="DD680" s="35"/>
    </row>
    <row r="681" spans="108:108" ht="15.75" customHeight="1">
      <c r="DD681" s="35"/>
    </row>
    <row r="682" spans="108:108" ht="15.75" customHeight="1">
      <c r="DD682" s="35"/>
    </row>
    <row r="683" spans="108:108" ht="15.75" customHeight="1">
      <c r="DD683" s="35"/>
    </row>
    <row r="684" spans="108:108" ht="15.75" customHeight="1">
      <c r="DD684" s="35"/>
    </row>
    <row r="685" spans="108:108" ht="15.75" customHeight="1">
      <c r="DD685" s="35"/>
    </row>
    <row r="686" spans="108:108" ht="15.75" customHeight="1">
      <c r="DD686" s="35"/>
    </row>
    <row r="687" spans="108:108" ht="15.75" customHeight="1">
      <c r="DD687" s="35"/>
    </row>
    <row r="688" spans="108:108" ht="15.75" customHeight="1">
      <c r="DD688" s="35"/>
    </row>
    <row r="689" spans="108:108" ht="15.75" customHeight="1">
      <c r="DD689" s="35"/>
    </row>
    <row r="690" spans="108:108" ht="15.75" customHeight="1">
      <c r="DD690" s="35"/>
    </row>
    <row r="691" spans="108:108" ht="15.75" customHeight="1">
      <c r="DD691" s="35"/>
    </row>
    <row r="692" spans="108:108" ht="15.75" customHeight="1">
      <c r="DD692" s="35"/>
    </row>
    <row r="693" spans="108:108" ht="15.75" customHeight="1">
      <c r="DD693" s="35"/>
    </row>
    <row r="694" spans="108:108" ht="15.75" customHeight="1">
      <c r="DD694" s="35"/>
    </row>
    <row r="695" spans="108:108" ht="15.75" customHeight="1">
      <c r="DD695" s="35"/>
    </row>
    <row r="696" spans="108:108" ht="15.75" customHeight="1">
      <c r="DD696" s="35"/>
    </row>
    <row r="697" spans="108:108" ht="15.75" customHeight="1">
      <c r="DD697" s="35"/>
    </row>
    <row r="698" spans="108:108" ht="15.75" customHeight="1">
      <c r="DD698" s="35"/>
    </row>
    <row r="699" spans="108:108" ht="15.75" customHeight="1">
      <c r="DD699" s="35"/>
    </row>
    <row r="700" spans="108:108" ht="15.75" customHeight="1">
      <c r="DD700" s="35"/>
    </row>
    <row r="701" spans="108:108" ht="15.75" customHeight="1">
      <c r="DD701" s="35"/>
    </row>
    <row r="702" spans="108:108" ht="15.75" customHeight="1">
      <c r="DD702" s="35"/>
    </row>
    <row r="703" spans="108:108" ht="15.75" customHeight="1">
      <c r="DD703" s="35"/>
    </row>
    <row r="704" spans="108:108" ht="15.75" customHeight="1">
      <c r="DD704" s="35"/>
    </row>
    <row r="705" spans="108:108" ht="15.75" customHeight="1">
      <c r="DD705" s="35"/>
    </row>
    <row r="706" spans="108:108" ht="15.75" customHeight="1">
      <c r="DD706" s="35"/>
    </row>
    <row r="707" spans="108:108" ht="15.75" customHeight="1">
      <c r="DD707" s="35"/>
    </row>
    <row r="708" spans="108:108" ht="15.75" customHeight="1">
      <c r="DD708" s="35"/>
    </row>
    <row r="709" spans="108:108" ht="15.75" customHeight="1">
      <c r="DD709" s="35"/>
    </row>
    <row r="710" spans="108:108" ht="15.75" customHeight="1">
      <c r="DD710" s="35"/>
    </row>
    <row r="711" spans="108:108" ht="15.75" customHeight="1">
      <c r="DD711" s="35"/>
    </row>
    <row r="712" spans="108:108" ht="15.75" customHeight="1">
      <c r="DD712" s="35"/>
    </row>
    <row r="713" spans="108:108" ht="15.75" customHeight="1">
      <c r="DD713" s="35"/>
    </row>
    <row r="714" spans="108:108" ht="15.75" customHeight="1">
      <c r="DD714" s="35"/>
    </row>
    <row r="715" spans="108:108" ht="15.75" customHeight="1">
      <c r="DD715" s="35"/>
    </row>
    <row r="716" spans="108:108" ht="15.75" customHeight="1">
      <c r="DD716" s="35"/>
    </row>
    <row r="717" spans="108:108" ht="15.75" customHeight="1">
      <c r="DD717" s="35"/>
    </row>
    <row r="718" spans="108:108" ht="15.75" customHeight="1">
      <c r="DD718" s="35"/>
    </row>
    <row r="719" spans="108:108" ht="15.75" customHeight="1">
      <c r="DD719" s="35"/>
    </row>
    <row r="720" spans="108:108" ht="15.75" customHeight="1">
      <c r="DD720" s="35"/>
    </row>
    <row r="721" spans="108:108" ht="15.75" customHeight="1">
      <c r="DD721" s="35"/>
    </row>
    <row r="722" spans="108:108" ht="15.75" customHeight="1">
      <c r="DD722" s="35"/>
    </row>
    <row r="723" spans="108:108" ht="15.75" customHeight="1">
      <c r="DD723" s="35"/>
    </row>
    <row r="724" spans="108:108" ht="15.75" customHeight="1">
      <c r="DD724" s="35"/>
    </row>
    <row r="725" spans="108:108" ht="15.75" customHeight="1">
      <c r="DD725" s="35"/>
    </row>
    <row r="726" spans="108:108" ht="15.75" customHeight="1">
      <c r="DD726" s="35"/>
    </row>
    <row r="727" spans="108:108" ht="15.75" customHeight="1">
      <c r="DD727" s="35"/>
    </row>
    <row r="728" spans="108:108" ht="15.75" customHeight="1">
      <c r="DD728" s="35"/>
    </row>
    <row r="729" spans="108:108" ht="15.75" customHeight="1">
      <c r="DD729" s="35"/>
    </row>
    <row r="730" spans="108:108" ht="15.75" customHeight="1">
      <c r="DD730" s="35"/>
    </row>
    <row r="731" spans="108:108" ht="15.75" customHeight="1">
      <c r="DD731" s="35"/>
    </row>
    <row r="732" spans="108:108" ht="15.75" customHeight="1">
      <c r="DD732" s="35"/>
    </row>
    <row r="733" spans="108:108" ht="15.75" customHeight="1">
      <c r="DD733" s="35"/>
    </row>
    <row r="734" spans="108:108" ht="15.75" customHeight="1">
      <c r="DD734" s="35"/>
    </row>
    <row r="735" spans="108:108" ht="15.75" customHeight="1">
      <c r="DD735" s="35"/>
    </row>
    <row r="736" spans="108:108" ht="15.75" customHeight="1">
      <c r="DD736" s="35"/>
    </row>
    <row r="737" spans="108:108" ht="15.75" customHeight="1">
      <c r="DD737" s="35"/>
    </row>
    <row r="738" spans="108:108" ht="15.75" customHeight="1">
      <c r="DD738" s="35"/>
    </row>
    <row r="739" spans="108:108" ht="15.75" customHeight="1">
      <c r="DD739" s="35"/>
    </row>
    <row r="740" spans="108:108" ht="15.75" customHeight="1">
      <c r="DD740" s="35"/>
    </row>
    <row r="741" spans="108:108" ht="15.75" customHeight="1">
      <c r="DD741" s="35"/>
    </row>
    <row r="742" spans="108:108" ht="15.75" customHeight="1">
      <c r="DD742" s="35"/>
    </row>
    <row r="743" spans="108:108" ht="15.75" customHeight="1">
      <c r="DD743" s="35"/>
    </row>
    <row r="744" spans="108:108" ht="15.75" customHeight="1">
      <c r="DD744" s="35"/>
    </row>
    <row r="745" spans="108:108" ht="15.75" customHeight="1">
      <c r="DD745" s="35"/>
    </row>
    <row r="746" spans="108:108" ht="15.75" customHeight="1">
      <c r="DD746" s="35"/>
    </row>
    <row r="747" spans="108:108" ht="15.75" customHeight="1">
      <c r="DD747" s="35"/>
    </row>
    <row r="748" spans="108:108" ht="15.75" customHeight="1">
      <c r="DD748" s="35"/>
    </row>
    <row r="749" spans="108:108" ht="15.75" customHeight="1">
      <c r="DD749" s="35"/>
    </row>
    <row r="750" spans="108:108" ht="15.75" customHeight="1">
      <c r="DD750" s="35"/>
    </row>
    <row r="751" spans="108:108" ht="15.75" customHeight="1">
      <c r="DD751" s="35"/>
    </row>
    <row r="752" spans="108:108" ht="15.75" customHeight="1">
      <c r="DD752" s="35"/>
    </row>
    <row r="753" spans="108:108" ht="15.75" customHeight="1">
      <c r="DD753" s="35"/>
    </row>
    <row r="754" spans="108:108" ht="15.75" customHeight="1">
      <c r="DD754" s="35"/>
    </row>
    <row r="755" spans="108:108" ht="15.75" customHeight="1">
      <c r="DD755" s="35"/>
    </row>
    <row r="756" spans="108:108" ht="15.75" customHeight="1">
      <c r="DD756" s="35"/>
    </row>
    <row r="757" spans="108:108" ht="15.75" customHeight="1">
      <c r="DD757" s="35"/>
    </row>
    <row r="758" spans="108:108" ht="15.75" customHeight="1">
      <c r="DD758" s="35"/>
    </row>
    <row r="759" spans="108:108" ht="15.75" customHeight="1">
      <c r="DD759" s="35"/>
    </row>
    <row r="760" spans="108:108" ht="15.75" customHeight="1">
      <c r="DD760" s="35"/>
    </row>
    <row r="761" spans="108:108" ht="15.75" customHeight="1">
      <c r="DD761" s="35"/>
    </row>
    <row r="762" spans="108:108" ht="15.75" customHeight="1">
      <c r="DD762" s="35"/>
    </row>
    <row r="763" spans="108:108" ht="15.75" customHeight="1">
      <c r="DD763" s="35"/>
    </row>
    <row r="764" spans="108:108" ht="15.75" customHeight="1">
      <c r="DD764" s="35"/>
    </row>
    <row r="765" spans="108:108" ht="15.75" customHeight="1">
      <c r="DD765" s="35"/>
    </row>
    <row r="766" spans="108:108" ht="15.75" customHeight="1">
      <c r="DD766" s="35"/>
    </row>
    <row r="767" spans="108:108" ht="15.75" customHeight="1">
      <c r="DD767" s="35"/>
    </row>
    <row r="768" spans="108:108" ht="15.75" customHeight="1">
      <c r="DD768" s="35"/>
    </row>
    <row r="769" spans="108:108" ht="15.75" customHeight="1">
      <c r="DD769" s="35"/>
    </row>
    <row r="770" spans="108:108" ht="15.75" customHeight="1">
      <c r="DD770" s="35"/>
    </row>
    <row r="771" spans="108:108" ht="15.75" customHeight="1">
      <c r="DD771" s="35"/>
    </row>
    <row r="772" spans="108:108" ht="15.75" customHeight="1">
      <c r="DD772" s="35"/>
    </row>
    <row r="773" spans="108:108" ht="15.75" customHeight="1">
      <c r="DD773" s="35"/>
    </row>
    <row r="774" spans="108:108" ht="15.75" customHeight="1">
      <c r="DD774" s="35"/>
    </row>
    <row r="775" spans="108:108" ht="15.75" customHeight="1">
      <c r="DD775" s="35"/>
    </row>
    <row r="776" spans="108:108" ht="15.75" customHeight="1">
      <c r="DD776" s="35"/>
    </row>
    <row r="777" spans="108:108" ht="15.75" customHeight="1">
      <c r="DD777" s="35"/>
    </row>
    <row r="778" spans="108:108" ht="15.75" customHeight="1">
      <c r="DD778" s="35"/>
    </row>
    <row r="779" spans="108:108" ht="15.75" customHeight="1">
      <c r="DD779" s="35"/>
    </row>
    <row r="780" spans="108:108" ht="15.75" customHeight="1">
      <c r="DD780" s="35"/>
    </row>
    <row r="781" spans="108:108" ht="15.75" customHeight="1">
      <c r="DD781" s="35"/>
    </row>
    <row r="782" spans="108:108" ht="15.75" customHeight="1">
      <c r="DD782" s="35"/>
    </row>
    <row r="783" spans="108:108" ht="15.75" customHeight="1">
      <c r="DD783" s="35"/>
    </row>
    <row r="784" spans="108:108" ht="15.75" customHeight="1">
      <c r="DD784" s="35"/>
    </row>
    <row r="785" spans="108:108" ht="15.75" customHeight="1">
      <c r="DD785" s="35"/>
    </row>
    <row r="786" spans="108:108" ht="15.75" customHeight="1">
      <c r="DD786" s="35"/>
    </row>
    <row r="787" spans="108:108" ht="15.75" customHeight="1">
      <c r="DD787" s="35"/>
    </row>
    <row r="788" spans="108:108" ht="15.75" customHeight="1">
      <c r="DD788" s="35"/>
    </row>
    <row r="789" spans="108:108" ht="15.75" customHeight="1">
      <c r="DD789" s="35"/>
    </row>
    <row r="790" spans="108:108" ht="15.75" customHeight="1">
      <c r="DD790" s="35"/>
    </row>
    <row r="791" spans="108:108" ht="15.75" customHeight="1">
      <c r="DD791" s="35"/>
    </row>
    <row r="792" spans="108:108" ht="15.75" customHeight="1">
      <c r="DD792" s="35"/>
    </row>
    <row r="793" spans="108:108" ht="15.75" customHeight="1">
      <c r="DD793" s="35"/>
    </row>
    <row r="794" spans="108:108" ht="15.75" customHeight="1">
      <c r="DD794" s="35"/>
    </row>
    <row r="795" spans="108:108" ht="15.75" customHeight="1">
      <c r="DD795" s="35"/>
    </row>
    <row r="796" spans="108:108" ht="15.75" customHeight="1">
      <c r="DD796" s="35"/>
    </row>
    <row r="797" spans="108:108" ht="15.75" customHeight="1">
      <c r="DD797" s="35"/>
    </row>
    <row r="798" spans="108:108" ht="15.75" customHeight="1">
      <c r="DD798" s="35"/>
    </row>
    <row r="799" spans="108:108" ht="15.75" customHeight="1">
      <c r="DD799" s="35"/>
    </row>
    <row r="800" spans="108:108" ht="15.75" customHeight="1">
      <c r="DD800" s="35"/>
    </row>
    <row r="801" spans="108:108" ht="15.75" customHeight="1">
      <c r="DD801" s="35"/>
    </row>
    <row r="802" spans="108:108" ht="15.75" customHeight="1">
      <c r="DD802" s="35"/>
    </row>
    <row r="803" spans="108:108" ht="15.75" customHeight="1">
      <c r="DD803" s="35"/>
    </row>
    <row r="804" spans="108:108" ht="15.75" customHeight="1">
      <c r="DD804" s="35"/>
    </row>
    <row r="805" spans="108:108" ht="15.75" customHeight="1">
      <c r="DD805" s="35"/>
    </row>
    <row r="806" spans="108:108" ht="15.75" customHeight="1">
      <c r="DD806" s="35"/>
    </row>
    <row r="807" spans="108:108" ht="15.75" customHeight="1">
      <c r="DD807" s="35"/>
    </row>
    <row r="808" spans="108:108" ht="15.75" customHeight="1">
      <c r="DD808" s="35"/>
    </row>
    <row r="809" spans="108:108" ht="15.75" customHeight="1">
      <c r="DD809" s="35"/>
    </row>
    <row r="810" spans="108:108" ht="15.75" customHeight="1">
      <c r="DD810" s="35"/>
    </row>
    <row r="811" spans="108:108" ht="15.75" customHeight="1">
      <c r="DD811" s="35"/>
    </row>
    <row r="812" spans="108:108" ht="15.75" customHeight="1">
      <c r="DD812" s="35"/>
    </row>
    <row r="813" spans="108:108" ht="15.75" customHeight="1">
      <c r="DD813" s="35"/>
    </row>
    <row r="814" spans="108:108" ht="15.75" customHeight="1">
      <c r="DD814" s="35"/>
    </row>
    <row r="815" spans="108:108" ht="15.75" customHeight="1">
      <c r="DD815" s="35"/>
    </row>
    <row r="816" spans="108:108" ht="15.75" customHeight="1">
      <c r="DD816" s="35"/>
    </row>
    <row r="817" spans="108:108" ht="15.75" customHeight="1">
      <c r="DD817" s="35"/>
    </row>
    <row r="818" spans="108:108" ht="15.75" customHeight="1">
      <c r="DD818" s="35"/>
    </row>
    <row r="819" spans="108:108" ht="15.75" customHeight="1">
      <c r="DD819" s="35"/>
    </row>
    <row r="820" spans="108:108" ht="15.75" customHeight="1">
      <c r="DD820" s="35"/>
    </row>
    <row r="821" spans="108:108" ht="15.75" customHeight="1">
      <c r="DD821" s="35"/>
    </row>
    <row r="822" spans="108:108" ht="15.75" customHeight="1">
      <c r="DD822" s="35"/>
    </row>
    <row r="823" spans="108:108" ht="15.75" customHeight="1">
      <c r="DD823" s="35"/>
    </row>
    <row r="824" spans="108:108" ht="15.75" customHeight="1">
      <c r="DD824" s="35"/>
    </row>
    <row r="825" spans="108:108" ht="15.75" customHeight="1">
      <c r="DD825" s="35"/>
    </row>
    <row r="826" spans="108:108" ht="15.75" customHeight="1">
      <c r="DD826" s="35"/>
    </row>
    <row r="827" spans="108:108" ht="15.75" customHeight="1">
      <c r="DD827" s="35"/>
    </row>
    <row r="828" spans="108:108" ht="15.75" customHeight="1">
      <c r="DD828" s="35"/>
    </row>
    <row r="829" spans="108:108" ht="15.75" customHeight="1">
      <c r="DD829" s="35"/>
    </row>
    <row r="830" spans="108:108" ht="15.75" customHeight="1">
      <c r="DD830" s="35"/>
    </row>
    <row r="831" spans="108:108" ht="15.75" customHeight="1">
      <c r="DD831" s="35"/>
    </row>
    <row r="832" spans="108:108" ht="15.75" customHeight="1">
      <c r="DD832" s="35"/>
    </row>
    <row r="833" spans="108:108" ht="15.75" customHeight="1">
      <c r="DD833" s="35"/>
    </row>
    <row r="834" spans="108:108" ht="15.75" customHeight="1">
      <c r="DD834" s="35"/>
    </row>
    <row r="835" spans="108:108" ht="15.75" customHeight="1">
      <c r="DD835" s="35"/>
    </row>
    <row r="836" spans="108:108" ht="15.75" customHeight="1">
      <c r="DD836" s="35"/>
    </row>
    <row r="837" spans="108:108" ht="15.75" customHeight="1">
      <c r="DD837" s="35"/>
    </row>
    <row r="838" spans="108:108" ht="15.75" customHeight="1">
      <c r="DD838" s="35"/>
    </row>
    <row r="839" spans="108:108" ht="15.75" customHeight="1">
      <c r="DD839" s="35"/>
    </row>
    <row r="840" spans="108:108" ht="15.75" customHeight="1">
      <c r="DD840" s="35"/>
    </row>
    <row r="841" spans="108:108" ht="15.75" customHeight="1">
      <c r="DD841" s="35"/>
    </row>
    <row r="842" spans="108:108" ht="15.75" customHeight="1">
      <c r="DD842" s="35"/>
    </row>
    <row r="843" spans="108:108" ht="15.75" customHeight="1">
      <c r="DD843" s="35"/>
    </row>
    <row r="844" spans="108:108" ht="15.75" customHeight="1">
      <c r="DD844" s="35"/>
    </row>
    <row r="845" spans="108:108" ht="15.75" customHeight="1"/>
    <row r="846" spans="108:108" ht="15.75" customHeight="1"/>
    <row r="847" spans="108:108" ht="15.75" customHeight="1"/>
    <row r="848" spans="108:10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</sheetData>
  <protectedRanges>
    <protectedRange sqref="C74:C75 C80:C81 C86:C88 K74:K76 G80:G82 K80:K82 Q74:Q75 Q80:Q81 Q86:Q88 Y74:Y76 U80:U82 Y80:Y82 G74:G76 U74:U76 AE74:AE75 AE80:AE81 AE86:AE88 AM74:AM76 AI80:AI82 AM80:AM82 AI74:AI76 AS74:AS75 AS80:AS81 AS86:AS88 BA74:BA76 AW80:AW82 BA80:BA82 AW74:AW76 BG74:BG75 BG80:BG81 BG86:BG88 BO74:BO76 BK80:BK82 BO80:BO82 BK74:BK76 BU74:BU75 BU80:BU81 BU86:BU88 CC74:CC76 BY80:BY82 CC80:CC82 BY74:BY76 CI74:CI75 CI80:CI81 CI86:CI88 CQ74:CQ76 CM80:CM82 CQ80:CQ82 CM74:CM76 CW74:CW75 CW80:CW81 CW86:CW88 DE74:DE76 DA80:DA82 DE80:DE82 DA74:DA76 DK74:DK75 DK80:DK81 DK86:DK88 DS74:DS76 DO80:DO82 DS80:DS82 DO74:DO76 DY74:DY75 DY80:DY81 DY86:DY88 EG74:EG76 EC80:EC82 EG80:EG82 EC74:EC76 EM74:EM75 EM80:EM81 EM86:EM88 EU74:EU76 EQ80:EQ82 EU80:EU82 EQ74:EQ76 FA74:FA75 FA80:FA81 FA86:FA88 FI74:FI76 FE80:FE82 FI80:FI82 FE74:FE76" name="Диапазон1_13_36_2_1"/>
    <protectedRange sqref="C92:C94 K86:K88 Q92:Q94 Y86:Y88 AE92:AE94 AM86:AM88 AS92:AS94 BA86:BA88 BG92:BG94 BO86:BO88 BU92:BU94 CC86:CC88 CI92:CI94 CQ86:CQ88 CW92:CW94 DE86:DE88 DK92:DK94 DS86:DS88 DY92:DY94 EG86:EG88 EM92:EM94 EU86:EU88 FA92:FA94 FI86:FI88" name="Диапазон1_13_36_2_3"/>
    <protectedRange sqref="D39" name="Диапазон2_1"/>
    <protectedRange sqref="D53" name="Диапазон2_1_1"/>
  </protectedRanges>
  <mergeCells count="560">
    <mergeCell ref="FM66:FM150"/>
    <mergeCell ref="FI95:FK95"/>
    <mergeCell ref="FI118:FK118"/>
    <mergeCell ref="FI124:FK124"/>
    <mergeCell ref="FI130:FK130"/>
    <mergeCell ref="FE136:FG136"/>
    <mergeCell ref="FA142:FC142"/>
    <mergeCell ref="FE124:FG124"/>
    <mergeCell ref="FE130:FG130"/>
    <mergeCell ref="FA78:FC78"/>
    <mergeCell ref="FI78:FK78"/>
    <mergeCell ref="FA84:FC84"/>
    <mergeCell ref="FI84:FK84"/>
    <mergeCell ref="FA90:FC90"/>
    <mergeCell ref="FI90:FK90"/>
    <mergeCell ref="FA96:FC96"/>
    <mergeCell ref="FE100:FG100"/>
    <mergeCell ref="FI101:FK101"/>
    <mergeCell ref="FE106:FG106"/>
    <mergeCell ref="FA107:FC107"/>
    <mergeCell ref="FI107:FK107"/>
    <mergeCell ref="FE112:FG112"/>
    <mergeCell ref="FA113:FC113"/>
    <mergeCell ref="FE118:FG118"/>
    <mergeCell ref="DE101:DG101"/>
    <mergeCell ref="DE95:DG95"/>
    <mergeCell ref="DE118:DG118"/>
    <mergeCell ref="EU95:EW95"/>
    <mergeCell ref="EU118:EW118"/>
    <mergeCell ref="EU124:EW124"/>
    <mergeCell ref="EU130:EW130"/>
    <mergeCell ref="EQ136:ES136"/>
    <mergeCell ref="EM142:EO142"/>
    <mergeCell ref="EQ124:ES124"/>
    <mergeCell ref="EQ130:ES130"/>
    <mergeCell ref="EM130:EO130"/>
    <mergeCell ref="DY130:EA130"/>
    <mergeCell ref="CM106:CO106"/>
    <mergeCell ref="CI107:CK107"/>
    <mergeCell ref="CQ107:CS107"/>
    <mergeCell ref="DE124:DG124"/>
    <mergeCell ref="DE130:DG130"/>
    <mergeCell ref="DA136:DC136"/>
    <mergeCell ref="CW142:CY142"/>
    <mergeCell ref="DW66:DW150"/>
    <mergeCell ref="DS95:DU95"/>
    <mergeCell ref="DS118:DU118"/>
    <mergeCell ref="DS124:DU124"/>
    <mergeCell ref="DS130:DU130"/>
    <mergeCell ref="DO136:DQ136"/>
    <mergeCell ref="DK142:DM142"/>
    <mergeCell ref="DO124:DQ124"/>
    <mergeCell ref="DO130:DQ130"/>
    <mergeCell ref="CW78:CY78"/>
    <mergeCell ref="DE78:DG78"/>
    <mergeCell ref="CW84:CY84"/>
    <mergeCell ref="DE84:DG84"/>
    <mergeCell ref="CW90:CY90"/>
    <mergeCell ref="DE90:DG90"/>
    <mergeCell ref="CW96:CY96"/>
    <mergeCell ref="DA100:DC100"/>
    <mergeCell ref="BO107:BQ107"/>
    <mergeCell ref="BK112:BM112"/>
    <mergeCell ref="BG113:BI113"/>
    <mergeCell ref="CC124:CE124"/>
    <mergeCell ref="CC130:CE130"/>
    <mergeCell ref="BY136:CA136"/>
    <mergeCell ref="BU142:BW142"/>
    <mergeCell ref="CU66:CU150"/>
    <mergeCell ref="CQ95:CS95"/>
    <mergeCell ref="CQ118:CS118"/>
    <mergeCell ref="CQ124:CS124"/>
    <mergeCell ref="CQ130:CS130"/>
    <mergeCell ref="CM136:CO136"/>
    <mergeCell ref="CI142:CK142"/>
    <mergeCell ref="BY130:CA130"/>
    <mergeCell ref="CI78:CK78"/>
    <mergeCell ref="CQ78:CS78"/>
    <mergeCell ref="CI84:CK84"/>
    <mergeCell ref="CQ84:CS84"/>
    <mergeCell ref="CI90:CK90"/>
    <mergeCell ref="CQ90:CS90"/>
    <mergeCell ref="CI96:CK96"/>
    <mergeCell ref="CM100:CO100"/>
    <mergeCell ref="CQ101:CS101"/>
    <mergeCell ref="AE130:AG130"/>
    <mergeCell ref="AM130:AO130"/>
    <mergeCell ref="AE136:AG136"/>
    <mergeCell ref="AI136:AK136"/>
    <mergeCell ref="AE142:AG142"/>
    <mergeCell ref="BE66:BE150"/>
    <mergeCell ref="BA95:BC95"/>
    <mergeCell ref="BA112:BC112"/>
    <mergeCell ref="BA118:BC118"/>
    <mergeCell ref="AS124:AU124"/>
    <mergeCell ref="BA124:BC124"/>
    <mergeCell ref="BA130:BC130"/>
    <mergeCell ref="AS136:AU136"/>
    <mergeCell ref="AW136:AY136"/>
    <mergeCell ref="AS142:AU142"/>
    <mergeCell ref="AW130:AY130"/>
    <mergeCell ref="AI118:AK118"/>
    <mergeCell ref="AE119:AG119"/>
    <mergeCell ref="AI124:AK124"/>
    <mergeCell ref="AI130:AK130"/>
    <mergeCell ref="AQ66:AQ150"/>
    <mergeCell ref="AE78:AG78"/>
    <mergeCell ref="AI90:AK90"/>
    <mergeCell ref="AM124:AO124"/>
    <mergeCell ref="S33:U33"/>
    <mergeCell ref="S34:U34"/>
    <mergeCell ref="R36:U37"/>
    <mergeCell ref="R38:U38"/>
    <mergeCell ref="B25:C25"/>
    <mergeCell ref="B26:C26"/>
    <mergeCell ref="B27:C27"/>
    <mergeCell ref="C102:E102"/>
    <mergeCell ref="C124:E124"/>
    <mergeCell ref="Q102:S102"/>
    <mergeCell ref="Q124:S124"/>
    <mergeCell ref="B31:C31"/>
    <mergeCell ref="B32:C32"/>
    <mergeCell ref="B33:C33"/>
    <mergeCell ref="B40:C40"/>
    <mergeCell ref="B41:C41"/>
    <mergeCell ref="C130:E130"/>
    <mergeCell ref="K95:M95"/>
    <mergeCell ref="K112:M112"/>
    <mergeCell ref="K118:M118"/>
    <mergeCell ref="K124:M124"/>
    <mergeCell ref="K130:M130"/>
    <mergeCell ref="G106:I106"/>
    <mergeCell ref="B42:C42"/>
    <mergeCell ref="B54:C54"/>
    <mergeCell ref="B55:C55"/>
    <mergeCell ref="C90:E90"/>
    <mergeCell ref="K90:M90"/>
    <mergeCell ref="C96:E96"/>
    <mergeCell ref="G100:I100"/>
    <mergeCell ref="K101:M101"/>
    <mergeCell ref="G112:I112"/>
    <mergeCell ref="B51:C51"/>
    <mergeCell ref="B52:C52"/>
    <mergeCell ref="B53:C53"/>
    <mergeCell ref="B46:C46"/>
    <mergeCell ref="B47:C47"/>
    <mergeCell ref="B48:C48"/>
    <mergeCell ref="FA119:FC119"/>
    <mergeCell ref="FI112:FK112"/>
    <mergeCell ref="EC130:EE130"/>
    <mergeCell ref="EM78:EO78"/>
    <mergeCell ref="EU78:EW78"/>
    <mergeCell ref="EM84:EO84"/>
    <mergeCell ref="EU84:EW84"/>
    <mergeCell ref="EM90:EO90"/>
    <mergeCell ref="EU90:EW90"/>
    <mergeCell ref="EM96:EO96"/>
    <mergeCell ref="EQ100:ES100"/>
    <mergeCell ref="EU101:EW101"/>
    <mergeCell ref="EQ106:ES106"/>
    <mergeCell ref="EM107:EO107"/>
    <mergeCell ref="EU107:EW107"/>
    <mergeCell ref="EQ112:ES112"/>
    <mergeCell ref="EM113:EO113"/>
    <mergeCell ref="EQ118:ES118"/>
    <mergeCell ref="EM119:EO119"/>
    <mergeCell ref="EC106:EE106"/>
    <mergeCell ref="EQ84:ES84"/>
    <mergeCell ref="EM102:EO102"/>
    <mergeCell ref="FA102:FC102"/>
    <mergeCell ref="EY66:EY150"/>
    <mergeCell ref="DY84:EA84"/>
    <mergeCell ref="EG84:EI84"/>
    <mergeCell ref="DY90:EA90"/>
    <mergeCell ref="EG90:EI90"/>
    <mergeCell ref="DY96:EA96"/>
    <mergeCell ref="EC100:EE100"/>
    <mergeCell ref="EG101:EI101"/>
    <mergeCell ref="EC84:EE84"/>
    <mergeCell ref="EC124:EE124"/>
    <mergeCell ref="BU119:BW119"/>
    <mergeCell ref="BY124:CA124"/>
    <mergeCell ref="BO78:BQ78"/>
    <mergeCell ref="DY107:EA107"/>
    <mergeCell ref="EG107:EI107"/>
    <mergeCell ref="EC112:EE112"/>
    <mergeCell ref="DY113:EA113"/>
    <mergeCell ref="EC118:EE118"/>
    <mergeCell ref="DY119:EA119"/>
    <mergeCell ref="DA124:DC124"/>
    <mergeCell ref="DK78:DM78"/>
    <mergeCell ref="DS78:DU78"/>
    <mergeCell ref="DK84:DM84"/>
    <mergeCell ref="DS84:DU84"/>
    <mergeCell ref="DK90:DM90"/>
    <mergeCell ref="DS90:DU90"/>
    <mergeCell ref="DK96:DM96"/>
    <mergeCell ref="DO100:DQ100"/>
    <mergeCell ref="DS101:DU101"/>
    <mergeCell ref="DO106:DQ106"/>
    <mergeCell ref="DK107:DM107"/>
    <mergeCell ref="DS107:DU107"/>
    <mergeCell ref="DO112:DQ112"/>
    <mergeCell ref="DK113:DM113"/>
    <mergeCell ref="BG119:BI119"/>
    <mergeCell ref="BK124:BM124"/>
    <mergeCell ref="AS107:AU107"/>
    <mergeCell ref="BA107:BC107"/>
    <mergeCell ref="AW112:AY112"/>
    <mergeCell ref="AS113:AU113"/>
    <mergeCell ref="AW118:AY118"/>
    <mergeCell ref="AS119:AU119"/>
    <mergeCell ref="AW124:AY124"/>
    <mergeCell ref="BG124:BI124"/>
    <mergeCell ref="BG96:BI96"/>
    <mergeCell ref="BK100:BM100"/>
    <mergeCell ref="BK106:BM106"/>
    <mergeCell ref="BG107:BI107"/>
    <mergeCell ref="Q136:S136"/>
    <mergeCell ref="Q142:S142"/>
    <mergeCell ref="U136:W136"/>
    <mergeCell ref="Y95:AA95"/>
    <mergeCell ref="Y112:AA112"/>
    <mergeCell ref="Y118:AA118"/>
    <mergeCell ref="Y124:AA124"/>
    <mergeCell ref="Y130:AA130"/>
    <mergeCell ref="Y107:AA107"/>
    <mergeCell ref="Y101:AA101"/>
    <mergeCell ref="AI100:AK100"/>
    <mergeCell ref="AI106:AK106"/>
    <mergeCell ref="AM107:AO107"/>
    <mergeCell ref="AE107:AG107"/>
    <mergeCell ref="AS102:AU102"/>
    <mergeCell ref="BG102:BI102"/>
    <mergeCell ref="AM101:AO101"/>
    <mergeCell ref="BA101:BC101"/>
    <mergeCell ref="Q130:S130"/>
    <mergeCell ref="BK118:BM118"/>
    <mergeCell ref="A66:A150"/>
    <mergeCell ref="O66:O150"/>
    <mergeCell ref="B3:F4"/>
    <mergeCell ref="G3:U4"/>
    <mergeCell ref="B5:F6"/>
    <mergeCell ref="G5:U6"/>
    <mergeCell ref="B7:F8"/>
    <mergeCell ref="G7:U8"/>
    <mergeCell ref="G9:U10"/>
    <mergeCell ref="A15:A27"/>
    <mergeCell ref="A31:A42"/>
    <mergeCell ref="A45:A55"/>
    <mergeCell ref="Q107:S107"/>
    <mergeCell ref="U112:W112"/>
    <mergeCell ref="Q113:S113"/>
    <mergeCell ref="B34:C34"/>
    <mergeCell ref="B35:C35"/>
    <mergeCell ref="B36:C36"/>
    <mergeCell ref="B37:C37"/>
    <mergeCell ref="U100:W100"/>
    <mergeCell ref="U118:W118"/>
    <mergeCell ref="Q119:S119"/>
    <mergeCell ref="B49:C49"/>
    <mergeCell ref="B50:C50"/>
    <mergeCell ref="B19:C19"/>
    <mergeCell ref="B20:C20"/>
    <mergeCell ref="B21:C21"/>
    <mergeCell ref="B22:C22"/>
    <mergeCell ref="B23:C23"/>
    <mergeCell ref="B24:C24"/>
    <mergeCell ref="B9:F10"/>
    <mergeCell ref="B13:F13"/>
    <mergeCell ref="B15:C15"/>
    <mergeCell ref="B16:C16"/>
    <mergeCell ref="B17:C17"/>
    <mergeCell ref="B18:C18"/>
    <mergeCell ref="R15:S15"/>
    <mergeCell ref="R17:S17"/>
    <mergeCell ref="R18:S18"/>
    <mergeCell ref="BG67:BG68"/>
    <mergeCell ref="BH67:BQ68"/>
    <mergeCell ref="BV67:CE68"/>
    <mergeCell ref="AW69:AY70"/>
    <mergeCell ref="BA69:BC70"/>
    <mergeCell ref="B38:C38"/>
    <mergeCell ref="B39:C39"/>
    <mergeCell ref="Q67:Q68"/>
    <mergeCell ref="R67:AA68"/>
    <mergeCell ref="AE67:AE68"/>
    <mergeCell ref="AF67:AO68"/>
    <mergeCell ref="C69:E70"/>
    <mergeCell ref="G69:I70"/>
    <mergeCell ref="K69:M70"/>
    <mergeCell ref="Q69:S70"/>
    <mergeCell ref="U69:W70"/>
    <mergeCell ref="Y69:AA70"/>
    <mergeCell ref="AE69:AG70"/>
    <mergeCell ref="AI69:AK70"/>
    <mergeCell ref="AM69:AO70"/>
    <mergeCell ref="B45:C45"/>
    <mergeCell ref="CI69:CK70"/>
    <mergeCell ref="EM69:EO70"/>
    <mergeCell ref="EQ69:ES70"/>
    <mergeCell ref="EU69:EW70"/>
    <mergeCell ref="CI67:CI68"/>
    <mergeCell ref="CJ67:CS68"/>
    <mergeCell ref="CW67:CW68"/>
    <mergeCell ref="CX67:DG68"/>
    <mergeCell ref="DK67:DK68"/>
    <mergeCell ref="DL67:DU68"/>
    <mergeCell ref="DY67:DY68"/>
    <mergeCell ref="DZ67:EI68"/>
    <mergeCell ref="EM67:EM68"/>
    <mergeCell ref="CM69:CO70"/>
    <mergeCell ref="CQ69:CS70"/>
    <mergeCell ref="CW69:CY70"/>
    <mergeCell ref="DA69:DC70"/>
    <mergeCell ref="DE69:DG70"/>
    <mergeCell ref="BY69:CA70"/>
    <mergeCell ref="FE69:FG70"/>
    <mergeCell ref="FI69:FK70"/>
    <mergeCell ref="C72:E72"/>
    <mergeCell ref="G72:I72"/>
    <mergeCell ref="K72:M72"/>
    <mergeCell ref="Q72:S72"/>
    <mergeCell ref="U72:W72"/>
    <mergeCell ref="Y72:AA72"/>
    <mergeCell ref="AE72:AG72"/>
    <mergeCell ref="AI72:AK72"/>
    <mergeCell ref="AM72:AO72"/>
    <mergeCell ref="AS72:AU72"/>
    <mergeCell ref="AW72:AY72"/>
    <mergeCell ref="BA72:BC72"/>
    <mergeCell ref="CQ72:CS72"/>
    <mergeCell ref="CW72:CY72"/>
    <mergeCell ref="DA72:DC72"/>
    <mergeCell ref="DE72:DG72"/>
    <mergeCell ref="DK72:DM72"/>
    <mergeCell ref="DO72:DQ72"/>
    <mergeCell ref="DS72:DU72"/>
    <mergeCell ref="DY72:EA72"/>
    <mergeCell ref="EC72:EE72"/>
    <mergeCell ref="BG69:BI70"/>
    <mergeCell ref="BK69:BM70"/>
    <mergeCell ref="BG72:BI72"/>
    <mergeCell ref="BK72:BM72"/>
    <mergeCell ref="BO72:BQ72"/>
    <mergeCell ref="BK78:BM78"/>
    <mergeCell ref="BO69:BQ70"/>
    <mergeCell ref="BU69:BW70"/>
    <mergeCell ref="BU72:BW72"/>
    <mergeCell ref="BU78:BW78"/>
    <mergeCell ref="BS66:BS150"/>
    <mergeCell ref="BO95:BQ95"/>
    <mergeCell ref="BO112:BQ112"/>
    <mergeCell ref="BO118:BQ118"/>
    <mergeCell ref="BO124:BQ124"/>
    <mergeCell ref="BG130:BI130"/>
    <mergeCell ref="BO130:BQ130"/>
    <mergeCell ref="BG136:BI136"/>
    <mergeCell ref="BK136:BM136"/>
    <mergeCell ref="BG142:BI142"/>
    <mergeCell ref="BG78:BI78"/>
    <mergeCell ref="BG84:BI84"/>
    <mergeCell ref="BO84:BQ84"/>
    <mergeCell ref="BG90:BI90"/>
    <mergeCell ref="CC69:CE70"/>
    <mergeCell ref="BY72:CA72"/>
    <mergeCell ref="CC72:CE72"/>
    <mergeCell ref="BA78:BC78"/>
    <mergeCell ref="BA84:BC84"/>
    <mergeCell ref="BA90:BC90"/>
    <mergeCell ref="CM84:CO84"/>
    <mergeCell ref="DA84:DC84"/>
    <mergeCell ref="DO84:DQ84"/>
    <mergeCell ref="CG66:CG150"/>
    <mergeCell ref="CC95:CE95"/>
    <mergeCell ref="CC118:CE118"/>
    <mergeCell ref="CC112:CE112"/>
    <mergeCell ref="CQ112:CS112"/>
    <mergeCell ref="DE112:DG112"/>
    <mergeCell ref="DA112:DC112"/>
    <mergeCell ref="CW113:CY113"/>
    <mergeCell ref="CI124:CK124"/>
    <mergeCell ref="CI130:CK130"/>
    <mergeCell ref="CM130:CO130"/>
    <mergeCell ref="CW130:CY130"/>
    <mergeCell ref="BY90:CA90"/>
    <mergeCell ref="CM90:CO90"/>
    <mergeCell ref="CW119:CY119"/>
    <mergeCell ref="CI72:CK72"/>
    <mergeCell ref="CM72:CO72"/>
    <mergeCell ref="CI136:CK136"/>
    <mergeCell ref="CW136:CY136"/>
    <mergeCell ref="DK136:DM136"/>
    <mergeCell ref="FE84:FG84"/>
    <mergeCell ref="EC90:EE90"/>
    <mergeCell ref="EQ90:ES90"/>
    <mergeCell ref="FE90:FG90"/>
    <mergeCell ref="DO95:DQ95"/>
    <mergeCell ref="EC95:EE95"/>
    <mergeCell ref="EQ95:ES95"/>
    <mergeCell ref="FE95:FG95"/>
    <mergeCell ref="DI66:DI150"/>
    <mergeCell ref="DS112:DU112"/>
    <mergeCell ref="EG112:EI112"/>
    <mergeCell ref="EU112:EW112"/>
    <mergeCell ref="DY136:EA136"/>
    <mergeCell ref="EM136:EO136"/>
    <mergeCell ref="FA136:FC136"/>
    <mergeCell ref="EM124:EO124"/>
    <mergeCell ref="FA124:FC124"/>
    <mergeCell ref="DK130:DM130"/>
    <mergeCell ref="CI119:CK119"/>
    <mergeCell ref="CM124:CO124"/>
    <mergeCell ref="FA130:FC130"/>
    <mergeCell ref="DO90:DQ90"/>
    <mergeCell ref="DK69:DM70"/>
    <mergeCell ref="DA130:DC130"/>
    <mergeCell ref="DO118:DQ118"/>
    <mergeCell ref="DK119:DM119"/>
    <mergeCell ref="DY78:EA78"/>
    <mergeCell ref="EG78:EI78"/>
    <mergeCell ref="CW124:CY124"/>
    <mergeCell ref="DK124:DM124"/>
    <mergeCell ref="DY124:EA124"/>
    <mergeCell ref="DA106:DC106"/>
    <mergeCell ref="CW107:CY107"/>
    <mergeCell ref="DE107:DG107"/>
    <mergeCell ref="EK66:EK150"/>
    <mergeCell ref="EG95:EI95"/>
    <mergeCell ref="EG118:EI118"/>
    <mergeCell ref="EG124:EI124"/>
    <mergeCell ref="EG130:EI130"/>
    <mergeCell ref="EC136:EE136"/>
    <mergeCell ref="DY142:EA142"/>
    <mergeCell ref="DA118:DC118"/>
    <mergeCell ref="FB67:FK68"/>
    <mergeCell ref="BY100:CA100"/>
    <mergeCell ref="CC101:CE101"/>
    <mergeCell ref="BY106:CA106"/>
    <mergeCell ref="BU107:BW107"/>
    <mergeCell ref="CC107:CE107"/>
    <mergeCell ref="BY112:CA112"/>
    <mergeCell ref="BU113:BW113"/>
    <mergeCell ref="BY118:CA118"/>
    <mergeCell ref="FI72:FK72"/>
    <mergeCell ref="CM78:CO78"/>
    <mergeCell ref="DA78:DC78"/>
    <mergeCell ref="BY84:CA84"/>
    <mergeCell ref="CM95:CO95"/>
    <mergeCell ref="DA95:DC95"/>
    <mergeCell ref="BY95:CA95"/>
    <mergeCell ref="BU96:BW96"/>
    <mergeCell ref="CI102:CK102"/>
    <mergeCell ref="CW102:CY102"/>
    <mergeCell ref="DK102:DM102"/>
    <mergeCell ref="DY102:EA102"/>
    <mergeCell ref="CM112:CO112"/>
    <mergeCell ref="CI113:CK113"/>
    <mergeCell ref="CM118:CO118"/>
    <mergeCell ref="DA90:DC90"/>
    <mergeCell ref="DO78:DQ78"/>
    <mergeCell ref="EC78:EE78"/>
    <mergeCell ref="EQ78:ES78"/>
    <mergeCell ref="FE78:FG78"/>
    <mergeCell ref="EG72:EI72"/>
    <mergeCell ref="EM72:EO72"/>
    <mergeCell ref="EQ72:ES72"/>
    <mergeCell ref="FA67:FA68"/>
    <mergeCell ref="EU72:EW72"/>
    <mergeCell ref="FA72:FC72"/>
    <mergeCell ref="FA69:FC70"/>
    <mergeCell ref="EN67:EW68"/>
    <mergeCell ref="DO69:DQ70"/>
    <mergeCell ref="DS69:DU70"/>
    <mergeCell ref="DY69:EA70"/>
    <mergeCell ref="EC69:EE70"/>
    <mergeCell ref="EG69:EI70"/>
    <mergeCell ref="FE72:FG72"/>
    <mergeCell ref="AS78:AU78"/>
    <mergeCell ref="AS84:AU84"/>
    <mergeCell ref="AM95:AO95"/>
    <mergeCell ref="BY78:CA78"/>
    <mergeCell ref="CC78:CE78"/>
    <mergeCell ref="BU84:BW84"/>
    <mergeCell ref="CC84:CE84"/>
    <mergeCell ref="BU90:BW90"/>
    <mergeCell ref="CC90:CE90"/>
    <mergeCell ref="BO90:BQ90"/>
    <mergeCell ref="BO101:BQ101"/>
    <mergeCell ref="AI78:AK78"/>
    <mergeCell ref="AW78:AY78"/>
    <mergeCell ref="AI84:AK84"/>
    <mergeCell ref="AW84:AY84"/>
    <mergeCell ref="AS69:AU70"/>
    <mergeCell ref="C67:C68"/>
    <mergeCell ref="D67:M68"/>
    <mergeCell ref="AM78:AO78"/>
    <mergeCell ref="AE84:AG84"/>
    <mergeCell ref="AM84:AO84"/>
    <mergeCell ref="G84:I84"/>
    <mergeCell ref="U84:W84"/>
    <mergeCell ref="G78:I78"/>
    <mergeCell ref="U78:W78"/>
    <mergeCell ref="AS67:AS68"/>
    <mergeCell ref="AT67:BC68"/>
    <mergeCell ref="K84:M84"/>
    <mergeCell ref="AC66:AC150"/>
    <mergeCell ref="G90:I90"/>
    <mergeCell ref="U90:W90"/>
    <mergeCell ref="U106:W106"/>
    <mergeCell ref="C136:E136"/>
    <mergeCell ref="C142:E142"/>
    <mergeCell ref="AE90:AG90"/>
    <mergeCell ref="AM90:AO90"/>
    <mergeCell ref="BK84:BM84"/>
    <mergeCell ref="BU102:BW102"/>
    <mergeCell ref="AS130:AU130"/>
    <mergeCell ref="AS90:AU90"/>
    <mergeCell ref="AS96:AU96"/>
    <mergeCell ref="AW100:AY100"/>
    <mergeCell ref="AW106:AY106"/>
    <mergeCell ref="AE96:AG96"/>
    <mergeCell ref="AI112:AK112"/>
    <mergeCell ref="AE113:AG113"/>
    <mergeCell ref="BK90:BM90"/>
    <mergeCell ref="BK95:BM95"/>
    <mergeCell ref="AW95:AY95"/>
    <mergeCell ref="AW90:AY90"/>
    <mergeCell ref="BU124:BW124"/>
    <mergeCell ref="BU130:BW130"/>
    <mergeCell ref="AI95:AK95"/>
    <mergeCell ref="AE102:AG102"/>
    <mergeCell ref="AM112:AO112"/>
    <mergeCell ref="AM118:AO118"/>
    <mergeCell ref="AE124:AG124"/>
    <mergeCell ref="BK130:BM130"/>
    <mergeCell ref="BU136:BW136"/>
    <mergeCell ref="BU67:BU68"/>
    <mergeCell ref="C107:E107"/>
    <mergeCell ref="K107:M107"/>
    <mergeCell ref="G118:I118"/>
    <mergeCell ref="C113:E113"/>
    <mergeCell ref="G124:I124"/>
    <mergeCell ref="C119:E119"/>
    <mergeCell ref="G95:I95"/>
    <mergeCell ref="U95:W95"/>
    <mergeCell ref="Q78:S78"/>
    <mergeCell ref="Y78:AA78"/>
    <mergeCell ref="Q84:S84"/>
    <mergeCell ref="Y84:AA84"/>
    <mergeCell ref="Q90:S90"/>
    <mergeCell ref="Y90:AA90"/>
    <mergeCell ref="Q96:S96"/>
    <mergeCell ref="G130:I130"/>
    <mergeCell ref="G136:I136"/>
    <mergeCell ref="U124:W124"/>
    <mergeCell ref="U130:W130"/>
    <mergeCell ref="C78:E78"/>
    <mergeCell ref="K78:M78"/>
    <mergeCell ref="C84:E84"/>
  </mergeCells>
  <hyperlinks>
    <hyperlink ref="R38" r:id="rId1" xr:uid="{00000000-0004-0000-0000-000000000000}"/>
    <hyperlink ref="B31:C31" r:id="rId2" display="Присед" xr:uid="{643AB5C3-61B2-41F8-B55D-9D63234E72BB}"/>
    <hyperlink ref="B52:C52" r:id="rId3" display="Косичка на трицепс " xr:uid="{069B4E21-4B20-4834-A617-971A337F1E30}"/>
    <hyperlink ref="B34:C34" r:id="rId4" display="Задние дельты Fly" xr:uid="{D66B9A2C-9FA7-4934-A36C-E5DEEE52C8B6}"/>
    <hyperlink ref="B21:C21" r:id="rId5" display="Вертикальная тяга в hammer " xr:uid="{27A4B9D9-F487-431E-B767-98C823511FCD}"/>
    <hyperlink ref="B47:C47" r:id="rId6" display="Жим гантелей лежа 180&quot;" xr:uid="{2CB9E162-8098-4FA7-A1B2-420A2A27E54B}"/>
    <hyperlink ref="B45:C45" r:id="rId7" display="Брусья " xr:uid="{23ED8413-84F6-48C7-9B0A-607A7C418620}"/>
    <hyperlink ref="B18:C18" r:id="rId8" display="Жим гантелей на наклонной " xr:uid="{44A0C775-0A17-4659-B3D9-A74A640D7E66}"/>
    <hyperlink ref="B16:C16" r:id="rId9" display="Жим лежа узким" xr:uid="{A175ACF2-3350-4573-AEDD-CB812E67762C}"/>
    <hyperlink ref="B15:C15" r:id="rId10" display="Жим лежа" xr:uid="{F76F65F2-F104-4D8E-82D3-4ECC9582E7EC}"/>
    <hyperlink ref="B17:C17" r:id="rId11" display="Подтягивания прямой хв" xr:uid="{9BD6322B-7D30-4E43-BF13-3BC817A57B02}"/>
    <hyperlink ref="B20:C20" r:id="rId12" display="Верт тяга блока паралл хв " xr:uid="{E5AAA27E-B498-4023-B2C7-5E2FAE72CE6B}"/>
    <hyperlink ref="B19:C19" r:id="rId13" display="Тяга штанги в наклоне " xr:uid="{91C82A7D-C904-4B78-9754-046CCBA9A6A6}"/>
    <hyperlink ref="B46:C46" r:id="rId14" display="Подтягивания паралл хв " xr:uid="{52C2C59B-BB28-4205-B17D-C2EFE9AA9E1F}"/>
    <hyperlink ref="B48:C48" r:id="rId15" display="Верт тяга блока широкий прямой хв " xr:uid="{6C80995A-B444-449B-B3E8-2D0E72B05733}"/>
    <hyperlink ref="B49:C49" r:id="rId16" display="Вертикальная тяга в hammer " xr:uid="{82A2F1F9-CCE1-48FB-9792-60E4E9833BDC}"/>
    <hyperlink ref="B50:C50" r:id="rId17" display="Бицепс с гантелями стоя " xr:uid="{DEEC1B8E-9844-4CAA-96FF-150578CC0BE4}"/>
    <hyperlink ref="B22:C22" r:id="rId18" display="Бицепс штанга" xr:uid="{6D7BBBCA-8320-405B-99E2-68A27EEE4B3B}"/>
    <hyperlink ref="B23:C23" r:id="rId19" display="Косичка на трицепс " xr:uid="{391C5E28-8117-460A-9C1B-D5E56F792FAD}"/>
    <hyperlink ref="B24:C24" r:id="rId20" display="Прямая рукоятка на трицепс " xr:uid="{AAE02967-5927-4642-B9B2-784406EC05B7}"/>
    <hyperlink ref="B51:C51" r:id="rId21" display="Прямая рукоятка на трицепс " xr:uid="{90614404-48C8-4960-B8D3-F7F56B38A21F}"/>
    <hyperlink ref="B36:C36" r:id="rId22" display="Махи на заднюю дельту " xr:uid="{BE23A2BC-C823-4E87-9150-AB6B9D921DF9}"/>
    <hyperlink ref="B37:C37" r:id="rId23" display="Тяга к груди " xr:uid="{F484BB7B-978A-4082-BB1C-F312BF55D8BE}"/>
    <hyperlink ref="B32:C32" r:id="rId24" display="Армейский жим " xr:uid="{6C9A61FE-0E4E-4563-A497-11685AFEA2DB}"/>
    <hyperlink ref="B35:C35" r:id="rId25" display="Тяга т грифа на заднюю дельту" xr:uid="{A7104C30-0DE3-4772-B6B7-DEC94B4F42B1}"/>
    <hyperlink ref="B38:C38" r:id="rId26" display="Гиперэкстензия " xr:uid="{72E3A2BD-5AEC-4D9E-A6F5-7F7DE0747DC5}"/>
    <hyperlink ref="B53:C53" r:id="rId27" display="Гиперэкстензия на поясницу " xr:uid="{C02A0B8C-7A8D-42F0-B46A-72E4A043748B}"/>
    <hyperlink ref="B40:C40" r:id="rId28" display="Сведение ног сидя" xr:uid="{2046DB60-429B-4708-9D9D-51F18FF01CF2}"/>
    <hyperlink ref="B41:C41" r:id="rId29" display="Разведение ног сидя" xr:uid="{9F00CC5B-C28E-4B50-A5DA-19374A8644E1}"/>
    <hyperlink ref="B25:C25" r:id="rId30" display="Шраги " xr:uid="{129DDC7A-B5D5-4607-B914-00CB00AAB76B}"/>
    <hyperlink ref="B26:C26" r:id="rId31" display="Пресс скрутки" xr:uid="{92208E98-7E96-45E0-98F9-650426A18F26}"/>
    <hyperlink ref="B27:C27" r:id="rId32" display="Икры сидя в тренажере" xr:uid="{1E94BCCC-9045-44F1-961B-B3C914E135B3}"/>
    <hyperlink ref="B54:C54" r:id="rId33" display="Пресс скрутки" xr:uid="{A90EC0C6-2F16-4978-8503-6D94158FA0A2}"/>
    <hyperlink ref="B42:C42" r:id="rId34" display="Предплечья сгибатели " xr:uid="{D919FBA5-A398-4F93-933E-E458DBF8E8F5}"/>
    <hyperlink ref="B33:C33" r:id="rId35" display="Махи средние дельты " xr:uid="{9BF2291E-0C9B-4B0A-A8B5-A378E14164FA}"/>
    <hyperlink ref="B55:C55" r:id="rId36" display="Икры стоя в смитте" xr:uid="{109AE800-949E-487F-84CC-9EEAF4089EC8}"/>
    <hyperlink ref="B39:C39" r:id="rId37" display="Гиперэкстензия на поясницу " xr:uid="{6D16F24E-AA80-4747-9C8D-4CD1321506D7}"/>
    <hyperlink ref="S33" r:id="rId38" xr:uid="{5AC5AFF6-EE54-4A57-9820-4A5D0439324F}"/>
    <hyperlink ref="S34" r:id="rId39" xr:uid="{A094284C-4468-452E-8D5B-CA864C5F762D}"/>
  </hyperlinks>
  <pageMargins left="0.25" right="0.25" top="0.75" bottom="0.75" header="0" footer="0"/>
  <pageSetup paperSize="9" orientation="portrait" r:id="rId40"/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дневник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Алимов</dc:creator>
  <cp:lastModifiedBy>Константин ксенофонтов</cp:lastModifiedBy>
  <dcterms:created xsi:type="dcterms:W3CDTF">2024-04-26T18:34:47Z</dcterms:created>
  <dcterms:modified xsi:type="dcterms:W3CDTF">2024-10-13T00:05:20Z</dcterms:modified>
</cp:coreProperties>
</file>